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dre\OneDrive\Documents\GitHub\ing-integrations-roadmap\"/>
    </mc:Choice>
  </mc:AlternateContent>
  <xr:revisionPtr revIDLastSave="0" documentId="8_{A2A20590-5FE1-469F-8847-4408C89F73CF}" xr6:coauthVersionLast="47" xr6:coauthVersionMax="47" xr10:uidLastSave="{00000000-0000-0000-0000-000000000000}"/>
  <bookViews>
    <workbookView xWindow="-30828" yWindow="2868" windowWidth="30936" windowHeight="16776" tabRatio="500" xr2:uid="{00000000-000D-0000-FFFF-FFFF00000000}"/>
  </bookViews>
  <sheets>
    <sheet name="Executive Summary" sheetId="1" r:id="rId1"/>
    <sheet name="Integration Maturity" sheetId="2" r:id="rId2"/>
    <sheet name="Roadmap Timeline" sheetId="3" r:id="rId3"/>
    <sheet name="Capability Reference" sheetId="4" r:id="rId4"/>
    <sheet name="Backlog" sheetId="5" r:id="rId5"/>
    <sheet name="ARR Impact Tracker" sheetId="6" state="hidden" r:id="rId6"/>
    <sheet name="Partnership Status"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0" i="6" l="1"/>
  <c r="D19" i="6"/>
  <c r="D18" i="6"/>
  <c r="D17" i="6"/>
  <c r="J13" i="4"/>
  <c r="J12" i="4"/>
  <c r="J11" i="4"/>
  <c r="J10" i="4"/>
  <c r="J9" i="4"/>
  <c r="J8" i="4"/>
  <c r="J7" i="4"/>
  <c r="J6" i="4"/>
  <c r="J5" i="4"/>
  <c r="G14" i="3"/>
  <c r="G13" i="3"/>
  <c r="G12" i="3"/>
  <c r="G11" i="3"/>
  <c r="G10" i="3"/>
  <c r="G9" i="3"/>
  <c r="G8" i="3"/>
  <c r="G7" i="3"/>
  <c r="G6" i="3"/>
  <c r="G5" i="3"/>
  <c r="J24" i="2"/>
  <c r="I24" i="2"/>
  <c r="H23" i="2"/>
  <c r="J23" i="2" s="1"/>
  <c r="J22" i="2"/>
  <c r="H22" i="2"/>
  <c r="I22" i="2" s="1"/>
  <c r="H21" i="2"/>
  <c r="I21" i="2" s="1"/>
  <c r="H20" i="2"/>
  <c r="J20" i="2" s="1"/>
  <c r="H19" i="2"/>
  <c r="J19" i="2" s="1"/>
  <c r="H18" i="2"/>
  <c r="J18" i="2" s="1"/>
  <c r="J17" i="2"/>
  <c r="I17" i="2"/>
  <c r="H17" i="2"/>
  <c r="H16" i="2"/>
  <c r="J16" i="2" s="1"/>
  <c r="H15" i="2"/>
  <c r="J15" i="2" s="1"/>
  <c r="H14" i="2"/>
  <c r="J14" i="2" s="1"/>
  <c r="H13" i="2"/>
  <c r="J13" i="2" s="1"/>
  <c r="H12" i="2"/>
  <c r="J12" i="2" s="1"/>
  <c r="J11" i="2"/>
  <c r="I11" i="2"/>
  <c r="H11" i="2"/>
  <c r="H10" i="2"/>
  <c r="J10" i="2" s="1"/>
  <c r="H9" i="2"/>
  <c r="J9" i="2" s="1"/>
  <c r="H8" i="2"/>
  <c r="I8" i="2" s="1"/>
  <c r="H7" i="2"/>
  <c r="I7" i="2" s="1"/>
  <c r="J6" i="2"/>
  <c r="I6" i="2"/>
  <c r="H6" i="2"/>
  <c r="H5" i="2"/>
  <c r="J5" i="2" s="1"/>
  <c r="I12" i="2" l="1"/>
  <c r="I23" i="2"/>
  <c r="J7" i="2"/>
  <c r="I18" i="2"/>
  <c r="I13" i="2"/>
  <c r="J8" i="2"/>
  <c r="I14" i="2"/>
  <c r="I9" i="2"/>
  <c r="I15" i="2"/>
  <c r="I10" i="2"/>
  <c r="I5" i="2"/>
  <c r="I16" i="2"/>
  <c r="J21" i="2"/>
  <c r="I19" i="2"/>
  <c r="I20" i="2"/>
</calcChain>
</file>

<file path=xl/sharedStrings.xml><?xml version="1.0" encoding="utf-8"?>
<sst xmlns="http://schemas.openxmlformats.org/spreadsheetml/2006/main" count="625" uniqueCount="244">
  <si>
    <t>POS Integration Roadmap</t>
  </si>
  <si>
    <t>Month-End Report  •  As of February 18, 2026</t>
  </si>
  <si>
    <t>Pipeline Properties</t>
  </si>
  <si>
    <t>Active Integrations — Status at a Glance</t>
  </si>
  <si>
    <t>POS Vendor</t>
  </si>
  <si>
    <t>Product</t>
  </si>
  <si>
    <t>Phase</t>
  </si>
  <si>
    <t>Status</t>
  </si>
  <si>
    <t>Risk</t>
  </si>
  <si>
    <t>Live
Props</t>
  </si>
  <si>
    <t>Pipeline
Props</t>
  </si>
  <si>
    <t>Est. Pipeline
ARR ($K)</t>
  </si>
  <si>
    <t>Expected
Close</t>
  </si>
  <si>
    <t>Next Action</t>
  </si>
  <si>
    <t>Oracle</t>
  </si>
  <si>
    <t>Simphony</t>
  </si>
  <si>
    <t>Production Ready</t>
  </si>
  <si>
    <t>Complete</t>
  </si>
  <si>
    <t>Low</t>
  </si>
  <si>
    <t>Jun 30, 2025</t>
  </si>
  <si>
    <t>Signed off &amp; handed over</t>
  </si>
  <si>
    <t>Toast (Extraction)</t>
  </si>
  <si>
    <t>Toast POS</t>
  </si>
  <si>
    <t>None</t>
  </si>
  <si>
    <t>Toast (API)</t>
  </si>
  <si>
    <t>In Progress</t>
  </si>
  <si>
    <t>Medium</t>
  </si>
  <si>
    <t>Mar 31, 2026</t>
  </si>
  <si>
    <t>API Medallion ETL underway</t>
  </si>
  <si>
    <t>Oracle MICROS</t>
  </si>
  <si>
    <t>Simphony / 3700</t>
  </si>
  <si>
    <t>Certified</t>
  </si>
  <si>
    <t>Shiji Infrasys</t>
  </si>
  <si>
    <t>Infrasys POS</t>
  </si>
  <si>
    <t>Sep 30, 2025</t>
  </si>
  <si>
    <t>Square</t>
  </si>
  <si>
    <t>Square POS</t>
  </si>
  <si>
    <t>Agilysys</t>
  </si>
  <si>
    <t>InfoGenesis POS</t>
  </si>
  <si>
    <t>R&amp;A Setup</t>
  </si>
  <si>
    <t>NCR Aloha</t>
  </si>
  <si>
    <t>Aloha POS</t>
  </si>
  <si>
    <t>Discovery</t>
  </si>
  <si>
    <t>On Deck</t>
  </si>
  <si>
    <t>Jun 30, 2026</t>
  </si>
  <si>
    <t>Awaiting roadmap approval</t>
  </si>
  <si>
    <t>Twinsoft</t>
  </si>
  <si>
    <t>Apr 1, 2026</t>
  </si>
  <si>
    <t>Clover</t>
  </si>
  <si>
    <t>Clover POS</t>
  </si>
  <si>
    <t>Decisions &amp; Actions Needed from Leadership</t>
  </si>
  <si>
    <t>#</t>
  </si>
  <si>
    <t>Vendor</t>
  </si>
  <si>
    <t>Decision / Action Required</t>
  </si>
  <si>
    <t>Why It Matters</t>
  </si>
  <si>
    <t>Impact if Delayed</t>
  </si>
  <si>
    <t>Owner Needed</t>
  </si>
  <si>
    <t>Deadline</t>
  </si>
  <si>
    <t>1</t>
  </si>
  <si>
    <t>TBD</t>
  </si>
  <si>
    <t>Toast</t>
  </si>
  <si>
    <t>Andy Sena</t>
  </si>
  <si>
    <t>Feb 28, 2026</t>
  </si>
  <si>
    <t>NCR Aloha / Clover</t>
  </si>
  <si>
    <t>Key Dependencies &amp; Risks</t>
  </si>
  <si>
    <t>Dependency</t>
  </si>
  <si>
    <t>Impact</t>
  </si>
  <si>
    <t>Expected Close</t>
  </si>
  <si>
    <t>Decision Needed</t>
  </si>
  <si>
    <t>High</t>
  </si>
  <si>
    <t>Blocked</t>
  </si>
  <si>
    <t>Customer Demand Signal — Backlog Highlights</t>
  </si>
  <si>
    <t>Requesting Brand(s)</t>
  </si>
  <si>
    <t>Est. ARR ($K)</t>
  </si>
  <si>
    <t>Priority Rationale</t>
  </si>
  <si>
    <t>Xn Global Systems</t>
  </si>
  <si>
    <t>xn</t>
  </si>
  <si>
    <t>6 pipeline properties already identified — highest demand in backlog</t>
  </si>
  <si>
    <t>Lightspeed</t>
  </si>
  <si>
    <t>Lightspeed K-Series</t>
  </si>
  <si>
    <t>Marriott</t>
  </si>
  <si>
    <t>PAR Brink</t>
  </si>
  <si>
    <t>PAR Brink POS</t>
  </si>
  <si>
    <t>Sani Ikos</t>
  </si>
  <si>
    <t>Twinsoft supports a portfolio of 18 properties with highly seasonal demand profiles. Pipeline ARR is based on annualized per-property revenue, with peak-season activation materially accelerating value realization.</t>
  </si>
  <si>
    <t>15 additional vendors tracked in the 'Backlog' tab. Full maturity scoring in 'Integration Maturity'. Technical specs in 'Capability Reference'.</t>
  </si>
  <si>
    <t>Integration Maturity Scorecard</t>
  </si>
  <si>
    <t>Each dimension scored 0–3  •  Target = 15 (maximum possible)</t>
  </si>
  <si>
    <t>Transaction
Depth</t>
  </si>
  <si>
    <t>Data
Latency</t>
  </si>
  <si>
    <t>Hotel
Support</t>
  </si>
  <si>
    <t>Scalability</t>
  </si>
  <si>
    <t>Vendor
Support</t>
  </si>
  <si>
    <t>Total
(/15)</t>
  </si>
  <si>
    <t>Maturity %</t>
  </si>
  <si>
    <t>Maître'D</t>
  </si>
  <si>
    <t>Maître'D POS</t>
  </si>
  <si>
    <t>Revel</t>
  </si>
  <si>
    <t>Revel Systems POS</t>
  </si>
  <si>
    <t>TouchBistro</t>
  </si>
  <si>
    <t>TouchBistro POS</t>
  </si>
  <si>
    <t>Epos Now</t>
  </si>
  <si>
    <t>Silverware</t>
  </si>
  <si>
    <t>Silverware POS</t>
  </si>
  <si>
    <t>SpeedLine</t>
  </si>
  <si>
    <t>SpeedLine POS</t>
  </si>
  <si>
    <t>Squirrel</t>
  </si>
  <si>
    <t>Squirrel Cloud / 11</t>
  </si>
  <si>
    <t>SailPOS</t>
  </si>
  <si>
    <t>Focus</t>
  </si>
  <si>
    <t>FocusPOS</t>
  </si>
  <si>
    <t>Active Roadmap Timeline</t>
  </si>
  <si>
    <t>Showing only integrations with scheduled or completed work</t>
  </si>
  <si>
    <t>Hotel Brand(s)</t>
  </si>
  <si>
    <t>Start</t>
  </si>
  <si>
    <t>End</t>
  </si>
  <si>
    <t>Duration
(Days)</t>
  </si>
  <si>
    <t>Notes</t>
  </si>
  <si>
    <t>Marriott / Hilton / Independent</t>
  </si>
  <si>
    <t>Extraction Build</t>
  </si>
  <si>
    <t>Marriott / Hilton / Hyatt / Independent</t>
  </si>
  <si>
    <t>API Build</t>
  </si>
  <si>
    <t>Hybrid Build</t>
  </si>
  <si>
    <t>Hyatt</t>
  </si>
  <si>
    <t>Independent / Hyatt / Marriott</t>
  </si>
  <si>
    <t>API Testing</t>
  </si>
  <si>
    <t>Hilton</t>
  </si>
  <si>
    <t>Reporting access granted — analysis underway</t>
  </si>
  <si>
    <t>Client/Vendor Engagement</t>
  </si>
  <si>
    <t>NCR</t>
  </si>
  <si>
    <t>Aloha</t>
  </si>
  <si>
    <t>Independent</t>
  </si>
  <si>
    <t>Developer Portal Initiation</t>
  </si>
  <si>
    <t>Technical Capability Reference</t>
  </si>
  <si>
    <t>Detailed per-vendor capability assessment  •  Scored vendors only</t>
  </si>
  <si>
    <t>Auth Method</t>
  </si>
  <si>
    <t>Data Direction</t>
  </si>
  <si>
    <t>Real-Time</t>
  </si>
  <si>
    <t>Historical
Backfill</t>
  </si>
  <si>
    <t>Check-Level</t>
  </si>
  <si>
    <t>Line Items</t>
  </si>
  <si>
    <t>Modifiers</t>
  </si>
  <si>
    <t>Capability
Score (/5)</t>
  </si>
  <si>
    <t>OIDC / Direct</t>
  </si>
  <si>
    <t>Unidirectional</t>
  </si>
  <si>
    <t>No</t>
  </si>
  <si>
    <t>Yes</t>
  </si>
  <si>
    <t>OAuth2</t>
  </si>
  <si>
    <t>Bidirectional</t>
  </si>
  <si>
    <t>Partial</t>
  </si>
  <si>
    <t>Partial (Near Real Time/Event)</t>
  </si>
  <si>
    <t>Backlog — Pending Discovery</t>
  </si>
  <si>
    <t>Vendors not yet scheduled  •  Will enter pipeline based on customer demand and capacity</t>
  </si>
  <si>
    <t>Integration Model</t>
  </si>
  <si>
    <t>API Maturity</t>
  </si>
  <si>
    <t>Brand Interest</t>
  </si>
  <si>
    <t>Pipeline
Properties</t>
  </si>
  <si>
    <t>R&amp;A / Extract (TBD)</t>
  </si>
  <si>
    <t>Requires Discovery</t>
  </si>
  <si>
    <t>API</t>
  </si>
  <si>
    <t>Partner / Marketplace (TBD)</t>
  </si>
  <si>
    <t>API (licensed) + R&amp;A</t>
  </si>
  <si>
    <t>File API / R&amp;A (batch)</t>
  </si>
  <si>
    <t>REST API / SDK+SQL</t>
  </si>
  <si>
    <t>Zucchetti Group</t>
  </si>
  <si>
    <t>TCPOS</t>
  </si>
  <si>
    <t>Emma</t>
  </si>
  <si>
    <t>6 pipeline properties</t>
  </si>
  <si>
    <t>Zonal</t>
  </si>
  <si>
    <t>ARR Impact Tracker</t>
  </si>
  <si>
    <t>Pipeline revenue by integration stage  •  As of February 18, 2026</t>
  </si>
  <si>
    <t>Integration</t>
  </si>
  <si>
    <t>ARR Stage</t>
  </si>
  <si>
    <t>H1 2025 ($K)</t>
  </si>
  <si>
    <t>H2 2025 ($K)</t>
  </si>
  <si>
    <t>Q1 2026 ($K)</t>
  </si>
  <si>
    <t>Q2 2026 ($K)</t>
  </si>
  <si>
    <t>Oracle Simphony</t>
  </si>
  <si>
    <t>Live</t>
  </si>
  <si>
    <t>-</t>
  </si>
  <si>
    <t>25 live properties; fully ramped</t>
  </si>
  <si>
    <t>5 live properties; fully ramped</t>
  </si>
  <si>
    <t>Signed off H2 2025; no active props</t>
  </si>
  <si>
    <t>1 live, 10 pipeline ready to onboard</t>
  </si>
  <si>
    <t>Pipeline</t>
  </si>
  <si>
    <t>10 pipeline props; partnership pending</t>
  </si>
  <si>
    <t>Testing phase; ETL build underway</t>
  </si>
  <si>
    <t>At Risk</t>
  </si>
  <si>
    <t>Partnership blocked; no owner assigned</t>
  </si>
  <si>
    <t>18 pipeline props; Sani Ikos brand</t>
  </si>
  <si>
    <t>ARR Summary by Stage</t>
  </si>
  <si>
    <t>Live ARR (Unlocked)</t>
  </si>
  <si>
    <t>Pipeline ARR (Committed)</t>
  </si>
  <si>
    <t>At-Risk ARR (Blocked)</t>
  </si>
  <si>
    <t>Total Addressable (All)</t>
  </si>
  <si>
    <t>Partnership Status</t>
  </si>
  <si>
    <t>Commercial agreement tracking  •  Separate from technical readiness</t>
  </si>
  <si>
    <t>Agreement Stage</t>
  </si>
  <si>
    <t>Owner</t>
  </si>
  <si>
    <t>Target Date</t>
  </si>
  <si>
    <t>Days Until Deadline</t>
  </si>
  <si>
    <t>Risk Level</t>
  </si>
  <si>
    <t>Notes / Next Action</t>
  </si>
  <si>
    <t>Signed &amp; Active</t>
  </si>
  <si>
    <t>—</t>
  </si>
  <si>
    <t>Agreement executed; fully operational. Annual renewal due Jun 2026.</t>
  </si>
  <si>
    <t>Extraction agreement active. API agreement separate — see row below.</t>
  </si>
  <si>
    <t>Agreement executed; fully operational.</t>
  </si>
  <si>
    <t>Agreement executed. 10 pipeline props ready; onboarding can proceed.</t>
  </si>
  <si>
    <t>Pending Signature</t>
  </si>
  <si>
    <t>~10d</t>
  </si>
  <si>
    <t>Integration complete; commercial terms drafted. Signature required to unblock 10 pipeline props.</t>
  </si>
  <si>
    <t>API testing underway without formalized agreement. Must close before production access.</t>
  </si>
  <si>
    <t>No Owner / Blocked</t>
  </si>
  <si>
    <t>Not Set</t>
  </si>
  <si>
    <t>Critical</t>
  </si>
  <si>
    <t>No internal owner assigned. No vendor engagement initiated. Blocks Hilton pipeline entirely.</t>
  </si>
  <si>
    <t>Not Started</t>
  </si>
  <si>
    <t>~41d</t>
  </si>
  <si>
    <t>Awaiting roadmap approval before initiating vendor outreach.</t>
  </si>
  <si>
    <t>Mar 30, 2026</t>
  </si>
  <si>
    <t>18 pipeline properties; Sani Ikos. Outreach not yet initiated.</t>
  </si>
  <si>
    <t>~132d</t>
  </si>
  <si>
    <t>Awaiting roadmap approval. Low urgency vs. other pipeline items.</t>
  </si>
  <si>
    <t>No Further Action - In Production &amp; Ready for Onboarding</t>
  </si>
  <si>
    <t>Feb 24 - Decision #2 Needs to be Addressed</t>
  </si>
  <si>
    <t>Business/Partners</t>
  </si>
  <si>
    <t>Feb 24 - Selected from Backlog, Business Account Created w/ Clover - Assessment underway. No current properties in Pipeline</t>
  </si>
  <si>
    <t>Frank Abad (Hilton) has indicated that the engagement is currently on hold pending further review by Hilton’s VP of IT and additional discussions with Sponsor John P. I have requested the name of the VP of IT from Frank so we can align internally and support the appropriate outreach.
We will need Business support to help re-enable engagement with both the Sponsor and Hilton leadership to move this initiative forward.</t>
  </si>
  <si>
    <t>The engagement is not stalled at a technical level — it is paused at the VP of IT layer (Hilton). That means progression is now dependent on executive alignment, not delivery capability. Without engagement at that level, the initiative will not advance regardless of readiness on our side.</t>
  </si>
  <si>
    <t>The core risk is not technical feasibility — it is executive momentum loss, which can translate into delay, reprioritization, or eventual disengagement.</t>
  </si>
  <si>
    <t>Andy confirmed with Lee Lewin (NCR Voyix) that for integration with NCR Aloha under their Restricted Use Agreement (RUA) process, a virtual test environment is not currently available. As a result, NCR requires the purchase of a dedicated Aloha server and POS terminal to support development and testing for Certfication path</t>
  </si>
  <si>
    <t>To move forward with the NCR Aloha testing environment through NCR Voyix, we would incur approximately $4,000 in one-time setup costs and $300 per month ongoing.
This represents the required non-production environment investment to enable certification, testing, and integration support — not per-property deployment expense. We would need further approval based on Pipeline (2 Properties) to move forward at this time.</t>
  </si>
  <si>
    <t>The primary risk is that we incur $4,000 upfront and $300/month ongoing without sufficient Aloha pipeline volume to justify the investment.
If adoption is lower than expected, this becomes sunk enablement cost with limited ROI, and we remain dependent on NCR Voyix’s environment and process for ongoing support.</t>
  </si>
  <si>
    <t>Toast (Ex+B37+A23:I2+A23:J24</t>
  </si>
  <si>
    <t>Jordan Moser (Toast) has mentioned they are looking to move forward with Partnership in 2026 given Marriott (Or other Sponsor) can be provided and drive engagement.
Require Business support on Sponsors for potential Pipelines that can help drive partnership engagement.</t>
  </si>
  <si>
    <t>Toast partnership progression in 2026 is contingent upon demonstrating sponsor-backed demand (e.g., Marriott or comparable enterprise account). Without visible pipeline support, partnership prioritization may stall.</t>
  </si>
  <si>
    <t>If we cannot provide credible sponsor-backed opportunities, Toast may delay formal partnership alignment, limiting our ability to scale within their ecosystem and slowing enterprise F&amp;B expansion.</t>
  </si>
  <si>
    <t>Feb 24 - R&amp;A analysis underway - Escalation to Business on Engagement</t>
  </si>
  <si>
    <t>Feb 24 - Antonis Arapoglou (Sani Ikos) engaged and actively looking to schedule time to technical validation &amp; feasibility to see if we can meet April 1 Deadline</t>
  </si>
  <si>
    <t>Engagement Delayed Pending Hilton Approval/Sponsorship</t>
  </si>
  <si>
    <t>Delayed</t>
  </si>
  <si>
    <t>TBD - Andy has followed up to confirm VP Name &amp; Timeline</t>
  </si>
  <si>
    <t>Determine primary sponsor strategy — proceed with Hilton engagement or designate an alternate enterprise client to drive vendor approval and partnership progression.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</si>
</sst>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409]mmmm\ d&quot;, &quot;yyyy;@"/>
    <numFmt numFmtId="166" formatCode="0.0"/>
    <numFmt numFmtId="167" formatCode="\$#,##0\K"/>
  </numFmts>
  <fonts count="19" x14ac:knownFonts="1">
    <font>
      <sz val="11"/>
      <color theme="1"/>
      <name val="Calibri"/>
      <family val="2"/>
      <charset val="1"/>
    </font>
    <font>
      <b/>
      <sz val="14"/>
      <color rgb="FF1B2A4A"/>
      <name val="Arial"/>
      <charset val="1"/>
    </font>
    <font>
      <sz val="10"/>
      <color rgb="FF808080"/>
      <name val="Arial"/>
      <charset val="1"/>
    </font>
    <font>
      <b/>
      <sz val="11"/>
      <color rgb="FF1B2A4A"/>
      <name val="Arial"/>
      <charset val="1"/>
    </font>
    <font>
      <sz val="10"/>
      <color rgb="FF333333"/>
      <name val="Arial"/>
      <charset val="1"/>
    </font>
    <font>
      <b/>
      <sz val="10"/>
      <color rgb="FFFFFFFF"/>
      <name val="Arial"/>
      <charset val="1"/>
    </font>
    <font>
      <b/>
      <sz val="11"/>
      <color rgb="FFFFFFFF"/>
      <name val="Arial"/>
      <family val="2"/>
      <charset val="1"/>
    </font>
    <font>
      <b/>
      <sz val="10"/>
      <color rgb="FFC00000"/>
      <name val="Arial"/>
      <family val="2"/>
      <charset val="1"/>
    </font>
    <font>
      <i/>
      <sz val="9"/>
      <color rgb="FF808080"/>
      <name val="Arial"/>
      <family val="2"/>
      <charset val="1"/>
    </font>
    <font>
      <b/>
      <sz val="10"/>
      <color rgb="FF375623"/>
      <name val="Arial"/>
      <charset val="1"/>
    </font>
    <font>
      <b/>
      <sz val="10"/>
      <color rgb="FF7D6608"/>
      <name val="Arial"/>
      <charset val="1"/>
    </font>
    <font>
      <b/>
      <sz val="10"/>
      <color rgb="FF333333"/>
      <name val="Arial"/>
      <charset val="1"/>
    </font>
    <font>
      <b/>
      <sz val="10"/>
      <color rgb="FFC00000"/>
      <name val="Arial"/>
      <charset val="1"/>
    </font>
    <font>
      <b/>
      <sz val="10"/>
      <color rgb="FF17375E"/>
      <name val="Arial"/>
      <charset val="1"/>
    </font>
    <font>
      <b/>
      <sz val="11"/>
      <color rgb="FF375623"/>
      <name val="Arial"/>
      <charset val="1"/>
    </font>
    <font>
      <b/>
      <sz val="11"/>
      <color rgb="FF17375E"/>
      <name val="Arial"/>
      <charset val="1"/>
    </font>
    <font>
      <b/>
      <sz val="11"/>
      <color rgb="FFC00000"/>
      <name val="Arial"/>
      <charset val="1"/>
    </font>
    <font>
      <b/>
      <sz val="11"/>
      <color rgb="FFFFFFFF"/>
      <name val="Arial"/>
      <charset val="1"/>
    </font>
    <font>
      <b/>
      <sz val="10"/>
      <color rgb="FF6B2E8C"/>
      <name val="Arial"/>
      <charset val="1"/>
    </font>
  </fonts>
  <fills count="11">
    <fill>
      <patternFill patternType="none"/>
    </fill>
    <fill>
      <patternFill patternType="gray125"/>
    </fill>
    <fill>
      <patternFill patternType="solid">
        <fgColor rgb="FF1B2A4A"/>
        <bgColor rgb="FF17375E"/>
      </patternFill>
    </fill>
    <fill>
      <patternFill patternType="solid">
        <fgColor rgb="FFFFFFFF"/>
        <bgColor rgb="FFF5F7FA"/>
      </patternFill>
    </fill>
    <fill>
      <patternFill patternType="solid">
        <fgColor rgb="FFE2EFDA"/>
        <bgColor rgb="FFE9EFF7"/>
      </patternFill>
    </fill>
    <fill>
      <patternFill patternType="solid">
        <fgColor rgb="FFE9EFF7"/>
        <bgColor rgb="FFF2F2F2"/>
      </patternFill>
    </fill>
    <fill>
      <patternFill patternType="solid">
        <fgColor rgb="FFFFF2CC"/>
        <bgColor rgb="FFF2F2F2"/>
      </patternFill>
    </fill>
    <fill>
      <patternFill patternType="solid">
        <fgColor rgb="FFFFD7CC"/>
        <bgColor rgb="FFF2E0F7"/>
      </patternFill>
    </fill>
    <fill>
      <patternFill patternType="solid">
        <fgColor rgb="FFDCE6F1"/>
        <bgColor rgb="FFDCE6F2"/>
      </patternFill>
    </fill>
    <fill>
      <patternFill patternType="solid">
        <fgColor rgb="FFF5F7FA"/>
        <bgColor rgb="FFF2F2F2"/>
      </patternFill>
    </fill>
    <fill>
      <patternFill patternType="solid">
        <fgColor rgb="FFF2E0F7"/>
        <bgColor rgb="FFE9EFF7"/>
      </patternFill>
    </fill>
  </fills>
  <borders count="3">
    <border>
      <left/>
      <right/>
      <top/>
      <bottom/>
      <diagonal/>
    </border>
    <border>
      <left/>
      <right/>
      <top/>
      <bottom style="medium">
        <color rgb="FF1B2A4A"/>
      </bottom>
      <diagonal/>
    </border>
    <border>
      <left/>
      <right/>
      <top/>
      <bottom style="thin">
        <color rgb="FFD9D9D9"/>
      </bottom>
      <diagonal/>
    </border>
  </borders>
  <cellStyleXfs count="1">
    <xf numFmtId="0" fontId="0" fillId="0" borderId="0"/>
  </cellStyleXfs>
  <cellXfs count="46">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xf numFmtId="0" fontId="5" fillId="2" borderId="1"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3" borderId="0" xfId="0" applyFont="1" applyFill="1" applyAlignment="1">
      <alignment horizontal="center" vertical="center" wrapText="1"/>
    </xf>
    <xf numFmtId="0" fontId="4" fillId="5"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4" fillId="5" borderId="0" xfId="0" applyFont="1" applyFill="1" applyAlignment="1">
      <alignment horizontal="center" vertical="center" wrapText="1"/>
    </xf>
    <xf numFmtId="0" fontId="0" fillId="3" borderId="0" xfId="0" applyFill="1"/>
    <xf numFmtId="0" fontId="6" fillId="2" borderId="1" xfId="0" applyFont="1" applyFill="1" applyBorder="1" applyAlignment="1">
      <alignment horizontal="center" vertical="center" wrapText="1"/>
    </xf>
    <xf numFmtId="164" fontId="4" fillId="3" borderId="2" xfId="0" applyNumberFormat="1" applyFont="1" applyFill="1" applyBorder="1" applyAlignment="1">
      <alignment horizontal="center" vertical="center" wrapText="1"/>
    </xf>
    <xf numFmtId="164" fontId="4" fillId="5" borderId="2" xfId="0" applyNumberFormat="1" applyFont="1" applyFill="1" applyBorder="1" applyAlignment="1">
      <alignment horizontal="center" vertical="center" wrapText="1"/>
    </xf>
    <xf numFmtId="165" fontId="4" fillId="3" borderId="2" xfId="0" applyNumberFormat="1" applyFont="1" applyFill="1" applyBorder="1" applyAlignment="1">
      <alignment horizontal="center" vertical="center" wrapText="1"/>
    </xf>
    <xf numFmtId="1" fontId="4" fillId="3" borderId="2" xfId="0" applyNumberFormat="1" applyFont="1" applyFill="1" applyBorder="1" applyAlignment="1">
      <alignment horizontal="center" vertical="center" wrapText="1"/>
    </xf>
    <xf numFmtId="0" fontId="9" fillId="4" borderId="2" xfId="0" applyFont="1" applyFill="1" applyBorder="1" applyAlignment="1">
      <alignment horizontal="center" vertical="center" wrapText="1"/>
    </xf>
    <xf numFmtId="165" fontId="4" fillId="5" borderId="2" xfId="0" applyNumberFormat="1" applyFont="1" applyFill="1" applyBorder="1" applyAlignment="1">
      <alignment horizontal="center" vertical="center" wrapText="1"/>
    </xf>
    <xf numFmtId="1" fontId="4" fillId="5" borderId="2" xfId="0" applyNumberFormat="1" applyFont="1" applyFill="1" applyBorder="1" applyAlignment="1">
      <alignment horizontal="center" vertical="center" wrapText="1"/>
    </xf>
    <xf numFmtId="0" fontId="10" fillId="6" borderId="2" xfId="0" applyFont="1" applyFill="1" applyBorder="1" applyAlignment="1">
      <alignment horizontal="center" vertical="center" wrapText="1"/>
    </xf>
    <xf numFmtId="0" fontId="4" fillId="5" borderId="0" xfId="0" applyFont="1" applyFill="1" applyAlignment="1">
      <alignment horizontal="left" vertical="center" wrapText="1"/>
    </xf>
    <xf numFmtId="165" fontId="4" fillId="5" borderId="0" xfId="0" applyNumberFormat="1" applyFont="1" applyFill="1" applyAlignment="1">
      <alignment horizontal="center" vertical="center" wrapText="1"/>
    </xf>
    <xf numFmtId="0" fontId="4" fillId="3" borderId="0" xfId="0" applyFont="1" applyFill="1" applyAlignment="1">
      <alignment horizontal="left" vertical="center" wrapText="1"/>
    </xf>
    <xf numFmtId="165" fontId="4" fillId="3" borderId="0" xfId="0" applyNumberFormat="1" applyFont="1" applyFill="1" applyAlignment="1">
      <alignment horizontal="center" vertical="center" wrapText="1"/>
    </xf>
    <xf numFmtId="166" fontId="4" fillId="3" borderId="2" xfId="0" applyNumberFormat="1" applyFont="1" applyFill="1" applyBorder="1" applyAlignment="1">
      <alignment horizontal="center" vertical="center" wrapText="1"/>
    </xf>
    <xf numFmtId="166" fontId="4" fillId="5" borderId="2" xfId="0" applyNumberFormat="1" applyFont="1" applyFill="1" applyBorder="1" applyAlignment="1">
      <alignment horizontal="center" vertical="center" wrapText="1"/>
    </xf>
    <xf numFmtId="0" fontId="5" fillId="2" borderId="0" xfId="0" applyFont="1" applyFill="1" applyAlignment="1">
      <alignment horizontal="center" vertical="center" wrapText="1"/>
    </xf>
    <xf numFmtId="3" fontId="11" fillId="3" borderId="0" xfId="0" applyNumberFormat="1" applyFont="1" applyFill="1" applyAlignment="1">
      <alignment horizontal="center" vertical="center" wrapText="1"/>
    </xf>
    <xf numFmtId="0" fontId="9" fillId="4" borderId="0" xfId="0" applyFont="1" applyFill="1" applyAlignment="1">
      <alignment horizontal="center" vertical="center" wrapText="1"/>
    </xf>
    <xf numFmtId="3" fontId="11" fillId="5" borderId="0" xfId="0" applyNumberFormat="1" applyFont="1" applyFill="1" applyAlignment="1">
      <alignment horizontal="center" vertical="center" wrapText="1"/>
    </xf>
    <xf numFmtId="0" fontId="10" fillId="6" borderId="0" xfId="0" applyFont="1" applyFill="1" applyAlignment="1">
      <alignment horizontal="center" vertical="center" wrapText="1"/>
    </xf>
    <xf numFmtId="0" fontId="12" fillId="7" borderId="0" xfId="0" applyFont="1" applyFill="1" applyAlignment="1">
      <alignment horizontal="center" vertical="center" wrapText="1"/>
    </xf>
    <xf numFmtId="0" fontId="13" fillId="8" borderId="0" xfId="0" applyFont="1" applyFill="1" applyAlignment="1">
      <alignment horizontal="center" vertical="center" wrapText="1"/>
    </xf>
    <xf numFmtId="0" fontId="3" fillId="9" borderId="0" xfId="0" applyFont="1" applyFill="1" applyAlignment="1">
      <alignment horizontal="left" vertical="center" wrapText="1"/>
    </xf>
    <xf numFmtId="0" fontId="0" fillId="9" borderId="0" xfId="0" applyFill="1"/>
    <xf numFmtId="0" fontId="11" fillId="9" borderId="0" xfId="0" applyFont="1" applyFill="1" applyAlignment="1">
      <alignment horizontal="left" vertical="center" wrapText="1"/>
    </xf>
    <xf numFmtId="167" fontId="14" fillId="4" borderId="0" xfId="0" applyNumberFormat="1" applyFont="1" applyFill="1" applyAlignment="1">
      <alignment horizontal="center" vertical="center" wrapText="1"/>
    </xf>
    <xf numFmtId="167" fontId="15" fillId="8" borderId="0" xfId="0" applyNumberFormat="1" applyFont="1" applyFill="1" applyAlignment="1">
      <alignment horizontal="center" vertical="center" wrapText="1"/>
    </xf>
    <xf numFmtId="167" fontId="16" fillId="7" borderId="0" xfId="0" applyNumberFormat="1" applyFont="1" applyFill="1" applyAlignment="1">
      <alignment horizontal="center" vertical="center" wrapText="1"/>
    </xf>
    <xf numFmtId="167" fontId="17" fillId="2" borderId="0" xfId="0" applyNumberFormat="1" applyFont="1" applyFill="1" applyAlignment="1">
      <alignment horizontal="center" vertical="center" wrapText="1"/>
    </xf>
    <xf numFmtId="0" fontId="18" fillId="10" borderId="0" xfId="0" applyFont="1" applyFill="1" applyAlignment="1">
      <alignment horizontal="center" vertical="center" wrapText="1"/>
    </xf>
    <xf numFmtId="0" fontId="8" fillId="0" borderId="0" xfId="0" applyFont="1"/>
    <xf numFmtId="15" fontId="7" fillId="5" borderId="2" xfId="0" applyNumberFormat="1" applyFont="1" applyFill="1" applyBorder="1" applyAlignment="1">
      <alignment horizontal="left" vertical="center" wrapText="1"/>
    </xf>
    <xf numFmtId="15" fontId="7" fillId="3" borderId="2"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D6608"/>
      <rgbColor rgb="FF800080"/>
      <rgbColor rgb="FF008080"/>
      <rgbColor rgb="FFD6E4F0"/>
      <rgbColor rgb="FF808080"/>
      <rgbColor rgb="FF9999FF"/>
      <rgbColor rgb="FF6B2E8C"/>
      <rgbColor rgb="FFFFF2CC"/>
      <rgbColor rgb="FFE9EF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F2"/>
      <rgbColor rgb="FFE2EFDA"/>
      <rgbColor rgb="FFF2F2F2"/>
      <rgbColor rgb="FFDCE6F1"/>
      <rgbColor rgb="FFF2E0F7"/>
      <rgbColor rgb="FFF5F7FA"/>
      <rgbColor rgb="FFFFD7CC"/>
      <rgbColor rgb="FF4472C4"/>
      <rgbColor rgb="FF33CCCC"/>
      <rgbColor rgb="FF99CC00"/>
      <rgbColor rgb="FFFFCC00"/>
      <rgbColor rgb="FFFF9900"/>
      <rgbColor rgb="FFED7D31"/>
      <rgbColor rgb="FF595959"/>
      <rgbColor rgb="FF70AD47"/>
      <rgbColor rgb="FF17375E"/>
      <rgbColor rgb="FF339966"/>
      <rgbColor rgb="FF375623"/>
      <rgbColor rgb="FF1B2A4A"/>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K29"/>
  <sheetViews>
    <sheetView tabSelected="1" topLeftCell="A18" zoomScale="115" zoomScaleNormal="115" workbookViewId="0">
      <selection activeCell="B24" sqref="B24"/>
    </sheetView>
  </sheetViews>
  <sheetFormatPr defaultColWidth="8.7109375" defaultRowHeight="15" x14ac:dyDescent="0.25"/>
  <cols>
    <col min="1" max="1" width="50.140625" bestFit="1" customWidth="1"/>
    <col min="2" max="2" width="24.7109375" bestFit="1" customWidth="1"/>
    <col min="3" max="3" width="20.28515625" bestFit="1" customWidth="1"/>
    <col min="4" max="4" width="22.42578125" bestFit="1" customWidth="1"/>
    <col min="5" max="5" width="18" bestFit="1" customWidth="1"/>
    <col min="6" max="6" width="63.5703125" bestFit="1" customWidth="1"/>
    <col min="7" max="7" width="14.140625" bestFit="1" customWidth="1"/>
    <col min="8" max="8" width="12.28515625" bestFit="1" customWidth="1"/>
    <col min="9" max="9" width="19.140625" bestFit="1" customWidth="1"/>
    <col min="10" max="10" width="40.85546875" bestFit="1" customWidth="1"/>
    <col min="11" max="11" width="24" customWidth="1"/>
  </cols>
  <sheetData>
    <row r="1" spans="1:11" ht="25.5" customHeight="1" x14ac:dyDescent="0.25">
      <c r="A1" s="1" t="s">
        <v>0</v>
      </c>
    </row>
    <row r="2" spans="1:11" ht="15" customHeight="1" x14ac:dyDescent="0.25">
      <c r="A2" s="2" t="s">
        <v>1</v>
      </c>
    </row>
    <row r="3" spans="1:11" ht="6" customHeight="1" x14ac:dyDescent="0.25"/>
    <row r="4" spans="1:11" ht="18" customHeight="1" x14ac:dyDescent="0.25">
      <c r="A4" s="3" t="s">
        <v>3</v>
      </c>
    </row>
    <row r="5" spans="1:11" ht="30" customHeight="1" x14ac:dyDescent="0.25">
      <c r="A5" s="4" t="s">
        <v>4</v>
      </c>
      <c r="B5" s="4" t="s">
        <v>5</v>
      </c>
      <c r="C5" s="4" t="s">
        <v>6</v>
      </c>
      <c r="D5" s="4" t="s">
        <v>7</v>
      </c>
      <c r="E5" s="4" t="s">
        <v>8</v>
      </c>
      <c r="F5" s="4" t="s">
        <v>9</v>
      </c>
      <c r="G5" s="4" t="s">
        <v>10</v>
      </c>
      <c r="H5" s="4" t="s">
        <v>11</v>
      </c>
      <c r="I5" s="4" t="s">
        <v>12</v>
      </c>
      <c r="J5" s="4" t="s">
        <v>13</v>
      </c>
    </row>
    <row r="6" spans="1:11" ht="29.25" customHeight="1" x14ac:dyDescent="0.25">
      <c r="A6" s="5" t="s">
        <v>14</v>
      </c>
      <c r="B6" s="5" t="s">
        <v>15</v>
      </c>
      <c r="C6" s="6" t="s">
        <v>16</v>
      </c>
      <c r="D6" s="7" t="s">
        <v>17</v>
      </c>
      <c r="E6" s="7" t="s">
        <v>18</v>
      </c>
      <c r="F6" s="6"/>
      <c r="G6" s="6"/>
      <c r="H6" s="6"/>
      <c r="I6" s="6" t="s">
        <v>19</v>
      </c>
      <c r="J6" s="6" t="s">
        <v>224</v>
      </c>
    </row>
    <row r="7" spans="1:11" ht="29.25" customHeight="1" x14ac:dyDescent="0.25">
      <c r="A7" s="9" t="s">
        <v>234</v>
      </c>
      <c r="B7" s="9" t="s">
        <v>22</v>
      </c>
      <c r="C7" s="10" t="s">
        <v>16</v>
      </c>
      <c r="D7" s="7" t="s">
        <v>17</v>
      </c>
      <c r="E7" s="7" t="s">
        <v>23</v>
      </c>
      <c r="F7" s="10"/>
      <c r="G7" s="10"/>
      <c r="H7" s="10"/>
      <c r="I7" s="10" t="s">
        <v>19</v>
      </c>
      <c r="J7" s="6" t="s">
        <v>224</v>
      </c>
    </row>
    <row r="8" spans="1:11" ht="19.5" customHeight="1" x14ac:dyDescent="0.25">
      <c r="A8" s="5" t="s">
        <v>24</v>
      </c>
      <c r="B8" s="5" t="s">
        <v>22</v>
      </c>
      <c r="C8" s="6" t="s">
        <v>25</v>
      </c>
      <c r="D8" s="6" t="s">
        <v>25</v>
      </c>
      <c r="E8" s="6" t="s">
        <v>26</v>
      </c>
      <c r="F8" s="6"/>
      <c r="G8" s="6"/>
      <c r="H8" s="6"/>
      <c r="I8" s="6" t="s">
        <v>27</v>
      </c>
      <c r="J8" s="6" t="s">
        <v>28</v>
      </c>
    </row>
    <row r="9" spans="1:11" ht="29.25" customHeight="1" x14ac:dyDescent="0.25">
      <c r="A9" s="9" t="s">
        <v>29</v>
      </c>
      <c r="B9" s="9" t="s">
        <v>30</v>
      </c>
      <c r="C9" s="10" t="s">
        <v>16</v>
      </c>
      <c r="D9" s="7" t="s">
        <v>17</v>
      </c>
      <c r="E9" s="7" t="s">
        <v>23</v>
      </c>
      <c r="F9" s="10"/>
      <c r="G9" s="10"/>
      <c r="H9" s="10"/>
      <c r="I9" s="10" t="s">
        <v>27</v>
      </c>
      <c r="J9" s="6" t="s">
        <v>224</v>
      </c>
    </row>
    <row r="10" spans="1:11" ht="30" customHeight="1" x14ac:dyDescent="0.25">
      <c r="A10" s="5" t="s">
        <v>32</v>
      </c>
      <c r="B10" s="5" t="s">
        <v>33</v>
      </c>
      <c r="C10" s="6" t="s">
        <v>31</v>
      </c>
      <c r="D10" s="7" t="s">
        <v>17</v>
      </c>
      <c r="E10" s="7" t="s">
        <v>23</v>
      </c>
      <c r="F10" s="6"/>
      <c r="G10" s="6"/>
      <c r="H10" s="6"/>
      <c r="I10" s="6" t="s">
        <v>34</v>
      </c>
      <c r="J10" s="6" t="s">
        <v>224</v>
      </c>
    </row>
    <row r="11" spans="1:11" ht="33" customHeight="1" x14ac:dyDescent="0.25">
      <c r="A11" s="9" t="s">
        <v>35</v>
      </c>
      <c r="B11" s="9" t="s">
        <v>36</v>
      </c>
      <c r="C11" s="10" t="s">
        <v>31</v>
      </c>
      <c r="D11" s="7" t="s">
        <v>17</v>
      </c>
      <c r="E11" s="7" t="s">
        <v>23</v>
      </c>
      <c r="F11" s="10">
        <v>0</v>
      </c>
      <c r="G11" s="10">
        <v>0</v>
      </c>
      <c r="H11" s="10"/>
      <c r="I11" s="10" t="s">
        <v>34</v>
      </c>
      <c r="J11" s="6" t="s">
        <v>224</v>
      </c>
    </row>
    <row r="12" spans="1:11" ht="27" customHeight="1" x14ac:dyDescent="0.25">
      <c r="A12" s="5" t="s">
        <v>37</v>
      </c>
      <c r="B12" s="5" t="s">
        <v>38</v>
      </c>
      <c r="C12" s="6" t="s">
        <v>39</v>
      </c>
      <c r="D12" s="6" t="s">
        <v>25</v>
      </c>
      <c r="E12" s="6" t="s">
        <v>26</v>
      </c>
      <c r="F12" s="6">
        <v>0</v>
      </c>
      <c r="G12" s="6"/>
      <c r="H12" s="6"/>
      <c r="I12" s="6" t="s">
        <v>27</v>
      </c>
      <c r="J12" s="6" t="s">
        <v>238</v>
      </c>
    </row>
    <row r="13" spans="1:11" ht="19.5" customHeight="1" x14ac:dyDescent="0.25">
      <c r="A13" s="9" t="s">
        <v>40</v>
      </c>
      <c r="B13" s="9" t="s">
        <v>41</v>
      </c>
      <c r="C13" s="10" t="s">
        <v>42</v>
      </c>
      <c r="D13" s="10" t="s">
        <v>42</v>
      </c>
      <c r="E13" s="10" t="s">
        <v>26</v>
      </c>
      <c r="F13" s="10">
        <v>0</v>
      </c>
      <c r="G13" s="10">
        <v>2</v>
      </c>
      <c r="H13" s="10"/>
      <c r="I13" s="10" t="s">
        <v>44</v>
      </c>
      <c r="J13" s="10" t="s">
        <v>225</v>
      </c>
    </row>
    <row r="14" spans="1:11" ht="55.5" customHeight="1" x14ac:dyDescent="0.25">
      <c r="A14" s="5" t="s">
        <v>46</v>
      </c>
      <c r="B14" s="5" t="s">
        <v>46</v>
      </c>
      <c r="C14" s="6" t="s">
        <v>42</v>
      </c>
      <c r="D14" s="6" t="s">
        <v>42</v>
      </c>
      <c r="E14" s="6" t="s">
        <v>18</v>
      </c>
      <c r="F14" s="6">
        <v>0</v>
      </c>
      <c r="G14" s="6">
        <v>16</v>
      </c>
      <c r="H14" s="6"/>
      <c r="I14" s="6" t="s">
        <v>47</v>
      </c>
      <c r="J14" s="6" t="s">
        <v>239</v>
      </c>
      <c r="K14" s="12"/>
    </row>
    <row r="15" spans="1:11" ht="51.75" customHeight="1" x14ac:dyDescent="0.25">
      <c r="A15" s="9" t="s">
        <v>48</v>
      </c>
      <c r="B15" s="9" t="s">
        <v>49</v>
      </c>
      <c r="C15" s="10" t="s">
        <v>42</v>
      </c>
      <c r="D15" s="10" t="s">
        <v>42</v>
      </c>
      <c r="E15" s="10" t="s">
        <v>18</v>
      </c>
      <c r="F15" s="10">
        <v>0</v>
      </c>
      <c r="G15" s="10">
        <v>0</v>
      </c>
      <c r="H15" s="10"/>
      <c r="I15" s="10" t="s">
        <v>44</v>
      </c>
      <c r="J15" s="10" t="s">
        <v>227</v>
      </c>
    </row>
    <row r="16" spans="1:11" ht="18" customHeight="1" x14ac:dyDescent="0.25">
      <c r="A16" s="3" t="s">
        <v>50</v>
      </c>
    </row>
    <row r="17" spans="1:11" ht="30" customHeight="1" x14ac:dyDescent="0.25">
      <c r="A17" s="4" t="s">
        <v>51</v>
      </c>
      <c r="B17" s="4" t="s">
        <v>52</v>
      </c>
      <c r="C17" s="4" t="s">
        <v>53</v>
      </c>
      <c r="D17" s="4" t="s">
        <v>54</v>
      </c>
      <c r="E17" s="4" t="s">
        <v>55</v>
      </c>
      <c r="F17" s="4" t="s">
        <v>56</v>
      </c>
      <c r="G17" s="13" t="s">
        <v>57</v>
      </c>
    </row>
    <row r="18" spans="1:11" ht="279" customHeight="1" x14ac:dyDescent="0.25">
      <c r="A18" s="6" t="s">
        <v>58</v>
      </c>
      <c r="B18" s="5" t="s">
        <v>37</v>
      </c>
      <c r="C18" s="6" t="s">
        <v>228</v>
      </c>
      <c r="D18" s="6" t="s">
        <v>229</v>
      </c>
      <c r="E18" s="6" t="s">
        <v>230</v>
      </c>
      <c r="F18" s="6" t="s">
        <v>226</v>
      </c>
      <c r="G18" s="45">
        <v>46082</v>
      </c>
    </row>
    <row r="19" spans="1:11" ht="263.25" customHeight="1" x14ac:dyDescent="0.25">
      <c r="A19" s="10">
        <v>2</v>
      </c>
      <c r="B19" s="9" t="s">
        <v>63</v>
      </c>
      <c r="C19" s="10" t="s">
        <v>231</v>
      </c>
      <c r="D19" s="10" t="s">
        <v>232</v>
      </c>
      <c r="E19" s="10" t="s">
        <v>233</v>
      </c>
      <c r="F19" s="10" t="s">
        <v>226</v>
      </c>
      <c r="G19" s="44">
        <v>46082</v>
      </c>
    </row>
    <row r="20" spans="1:11" ht="279" customHeight="1" x14ac:dyDescent="0.25">
      <c r="A20" s="6">
        <v>3</v>
      </c>
      <c r="B20" s="5" t="s">
        <v>22</v>
      </c>
      <c r="C20" s="6" t="s">
        <v>235</v>
      </c>
      <c r="D20" s="6" t="s">
        <v>236</v>
      </c>
      <c r="E20" s="6" t="s">
        <v>237</v>
      </c>
      <c r="F20" s="6" t="s">
        <v>226</v>
      </c>
      <c r="G20" s="45">
        <v>46082</v>
      </c>
    </row>
    <row r="21" spans="1:11" ht="6" customHeight="1" x14ac:dyDescent="0.25"/>
    <row r="22" spans="1:11" ht="18" customHeight="1" x14ac:dyDescent="0.25">
      <c r="A22" s="3" t="s">
        <v>64</v>
      </c>
    </row>
    <row r="23" spans="1:11" ht="30" customHeight="1" x14ac:dyDescent="0.25">
      <c r="A23" s="4" t="s">
        <v>52</v>
      </c>
      <c r="B23" s="4" t="s">
        <v>65</v>
      </c>
      <c r="C23" s="4" t="s">
        <v>66</v>
      </c>
      <c r="D23" s="4" t="s">
        <v>7</v>
      </c>
      <c r="E23" s="4" t="s">
        <v>67</v>
      </c>
      <c r="F23" s="4" t="s">
        <v>68</v>
      </c>
    </row>
    <row r="24" spans="1:11" ht="63" customHeight="1" x14ac:dyDescent="0.25">
      <c r="A24" s="5" t="s">
        <v>37</v>
      </c>
      <c r="B24" s="5" t="s">
        <v>240</v>
      </c>
      <c r="C24" s="6" t="s">
        <v>69</v>
      </c>
      <c r="D24" s="6" t="s">
        <v>241</v>
      </c>
      <c r="E24" s="6" t="s">
        <v>242</v>
      </c>
      <c r="F24" s="6" t="s">
        <v>243</v>
      </c>
    </row>
    <row r="25" spans="1:11" ht="44.25" customHeight="1" x14ac:dyDescent="0.25">
      <c r="A25" s="3" t="s">
        <v>71</v>
      </c>
    </row>
    <row r="26" spans="1:11" ht="30" customHeight="1" x14ac:dyDescent="0.25">
      <c r="A26" s="4" t="s">
        <v>4</v>
      </c>
      <c r="B26" s="4" t="s">
        <v>5</v>
      </c>
      <c r="C26" s="4" t="s">
        <v>72</v>
      </c>
      <c r="D26" s="4" t="s">
        <v>2</v>
      </c>
      <c r="E26" s="4" t="s">
        <v>73</v>
      </c>
      <c r="F26" s="4" t="s">
        <v>74</v>
      </c>
    </row>
    <row r="27" spans="1:11" ht="48" customHeight="1" x14ac:dyDescent="0.25">
      <c r="A27" s="5" t="s">
        <v>75</v>
      </c>
      <c r="B27" s="5" t="s">
        <v>76</v>
      </c>
      <c r="C27" s="6" t="s">
        <v>59</v>
      </c>
      <c r="D27" s="6">
        <v>6</v>
      </c>
      <c r="E27" s="6" t="s">
        <v>59</v>
      </c>
      <c r="F27" s="6" t="s">
        <v>77</v>
      </c>
    </row>
    <row r="28" spans="1:11" ht="48" customHeight="1" x14ac:dyDescent="0.25">
      <c r="A28" s="9" t="s">
        <v>46</v>
      </c>
      <c r="B28" s="9" t="s">
        <v>83</v>
      </c>
      <c r="C28" s="10" t="s">
        <v>59</v>
      </c>
      <c r="D28" s="10">
        <v>18</v>
      </c>
      <c r="E28" s="10" t="s">
        <v>59</v>
      </c>
      <c r="F28" s="11" t="s">
        <v>84</v>
      </c>
    </row>
    <row r="29" spans="1:11" ht="15" customHeight="1" x14ac:dyDescent="0.25">
      <c r="A29" s="43" t="s">
        <v>85</v>
      </c>
      <c r="B29" s="43"/>
      <c r="C29" s="43"/>
      <c r="D29" s="43"/>
      <c r="E29" s="43"/>
      <c r="F29" s="43"/>
      <c r="G29" s="43"/>
      <c r="H29" s="43"/>
      <c r="I29" s="43"/>
      <c r="J29" s="43"/>
      <c r="K29" s="43"/>
    </row>
  </sheetData>
  <mergeCells count="1">
    <mergeCell ref="A29:K29"/>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J24"/>
  <sheetViews>
    <sheetView zoomScaleNormal="100" workbookViewId="0">
      <pane ySplit="4" topLeftCell="A5" activePane="bottomLeft" state="frozen"/>
      <selection pane="bottomLeft" activeCell="N36" sqref="N36"/>
    </sheetView>
  </sheetViews>
  <sheetFormatPr defaultColWidth="8.7109375" defaultRowHeight="15" x14ac:dyDescent="0.25"/>
  <cols>
    <col min="1" max="1" width="20" customWidth="1"/>
    <col min="2" max="2" width="22" customWidth="1"/>
    <col min="3" max="7" width="17" customWidth="1"/>
    <col min="8" max="9" width="12" customWidth="1"/>
    <col min="10" max="10" width="11" customWidth="1"/>
  </cols>
  <sheetData>
    <row r="1" spans="1:10" ht="24" customHeight="1" x14ac:dyDescent="0.25">
      <c r="A1" s="1" t="s">
        <v>86</v>
      </c>
    </row>
    <row r="2" spans="1:10" ht="15" customHeight="1" x14ac:dyDescent="0.25">
      <c r="A2" s="2" t="s">
        <v>87</v>
      </c>
    </row>
    <row r="3" spans="1:10" ht="6" customHeight="1" x14ac:dyDescent="0.25"/>
    <row r="4" spans="1:10" ht="30" customHeight="1" x14ac:dyDescent="0.25">
      <c r="A4" s="4" t="s">
        <v>4</v>
      </c>
      <c r="B4" s="4" t="s">
        <v>5</v>
      </c>
      <c r="C4" s="4" t="s">
        <v>88</v>
      </c>
      <c r="D4" s="4" t="s">
        <v>89</v>
      </c>
      <c r="E4" s="4" t="s">
        <v>90</v>
      </c>
      <c r="F4" s="4" t="s">
        <v>91</v>
      </c>
      <c r="G4" s="4" t="s">
        <v>92</v>
      </c>
      <c r="H4" s="4" t="s">
        <v>93</v>
      </c>
      <c r="I4" s="4" t="s">
        <v>94</v>
      </c>
      <c r="J4" s="4" t="s">
        <v>7</v>
      </c>
    </row>
    <row r="5" spans="1:10" ht="19.5" customHeight="1" x14ac:dyDescent="0.25">
      <c r="A5" s="5" t="s">
        <v>14</v>
      </c>
      <c r="B5" s="5" t="s">
        <v>15</v>
      </c>
      <c r="C5" s="6">
        <v>3</v>
      </c>
      <c r="D5" s="6">
        <v>1</v>
      </c>
      <c r="E5" s="6">
        <v>1</v>
      </c>
      <c r="F5" s="6">
        <v>2</v>
      </c>
      <c r="G5" s="6">
        <v>2</v>
      </c>
      <c r="H5" s="6">
        <f t="shared" ref="H5:H23" si="0">SUM(C5:G5)</f>
        <v>9</v>
      </c>
      <c r="I5" s="14">
        <f t="shared" ref="I5:I24" si="1">H5/15</f>
        <v>0.6</v>
      </c>
      <c r="J5" s="6" t="str">
        <f t="shared" ref="J5:J24" si="2">IF(H5&gt;=13,"Ready",IF(H5&gt;=10,"Viable","Gaps"))</f>
        <v>Gaps</v>
      </c>
    </row>
    <row r="6" spans="1:10" ht="19.5" customHeight="1" x14ac:dyDescent="0.25">
      <c r="A6" s="9" t="s">
        <v>60</v>
      </c>
      <c r="B6" s="9" t="s">
        <v>22</v>
      </c>
      <c r="C6" s="10">
        <v>3</v>
      </c>
      <c r="D6" s="10">
        <v>3</v>
      </c>
      <c r="E6" s="10">
        <v>2</v>
      </c>
      <c r="F6" s="10">
        <v>3</v>
      </c>
      <c r="G6" s="10">
        <v>3</v>
      </c>
      <c r="H6" s="10">
        <f t="shared" si="0"/>
        <v>14</v>
      </c>
      <c r="I6" s="15">
        <f t="shared" si="1"/>
        <v>0.93333333333333335</v>
      </c>
      <c r="J6" s="10" t="str">
        <f t="shared" si="2"/>
        <v>Ready</v>
      </c>
    </row>
    <row r="7" spans="1:10" ht="19.5" customHeight="1" x14ac:dyDescent="0.25">
      <c r="A7" s="5" t="s">
        <v>29</v>
      </c>
      <c r="B7" s="5" t="s">
        <v>30</v>
      </c>
      <c r="C7" s="6">
        <v>3</v>
      </c>
      <c r="D7" s="6">
        <v>2</v>
      </c>
      <c r="E7" s="6">
        <v>3</v>
      </c>
      <c r="F7" s="6">
        <v>3</v>
      </c>
      <c r="G7" s="6">
        <v>2</v>
      </c>
      <c r="H7" s="6">
        <f t="shared" si="0"/>
        <v>13</v>
      </c>
      <c r="I7" s="14">
        <f t="shared" si="1"/>
        <v>0.8666666666666667</v>
      </c>
      <c r="J7" s="6" t="str">
        <f t="shared" si="2"/>
        <v>Ready</v>
      </c>
    </row>
    <row r="8" spans="1:10" ht="19.5" customHeight="1" x14ac:dyDescent="0.25">
      <c r="A8" s="9" t="s">
        <v>32</v>
      </c>
      <c r="B8" s="9" t="s">
        <v>33</v>
      </c>
      <c r="C8" s="10">
        <v>3</v>
      </c>
      <c r="D8" s="10">
        <v>1</v>
      </c>
      <c r="E8" s="10">
        <v>3</v>
      </c>
      <c r="F8" s="10">
        <v>3</v>
      </c>
      <c r="G8" s="10">
        <v>3</v>
      </c>
      <c r="H8" s="10">
        <f t="shared" si="0"/>
        <v>13</v>
      </c>
      <c r="I8" s="15">
        <f t="shared" si="1"/>
        <v>0.8666666666666667</v>
      </c>
      <c r="J8" s="10" t="str">
        <f t="shared" si="2"/>
        <v>Ready</v>
      </c>
    </row>
    <row r="9" spans="1:10" ht="19.5" customHeight="1" x14ac:dyDescent="0.25">
      <c r="A9" s="5" t="s">
        <v>40</v>
      </c>
      <c r="B9" s="5" t="s">
        <v>41</v>
      </c>
      <c r="C9" s="6">
        <v>3</v>
      </c>
      <c r="D9" s="6">
        <v>2</v>
      </c>
      <c r="E9" s="6">
        <v>2</v>
      </c>
      <c r="F9" s="6">
        <v>3</v>
      </c>
      <c r="G9" s="6">
        <v>3</v>
      </c>
      <c r="H9" s="6">
        <f t="shared" si="0"/>
        <v>13</v>
      </c>
      <c r="I9" s="14">
        <f t="shared" si="1"/>
        <v>0.8666666666666667</v>
      </c>
      <c r="J9" s="6" t="str">
        <f t="shared" si="2"/>
        <v>Ready</v>
      </c>
    </row>
    <row r="10" spans="1:10" ht="19.5" customHeight="1" x14ac:dyDescent="0.25">
      <c r="A10" s="9" t="s">
        <v>95</v>
      </c>
      <c r="B10" s="9" t="s">
        <v>96</v>
      </c>
      <c r="C10" s="10">
        <v>1</v>
      </c>
      <c r="D10" s="10">
        <v>1</v>
      </c>
      <c r="E10" s="10">
        <v>2</v>
      </c>
      <c r="F10" s="10">
        <v>2</v>
      </c>
      <c r="G10" s="10">
        <v>2</v>
      </c>
      <c r="H10" s="10">
        <f t="shared" si="0"/>
        <v>8</v>
      </c>
      <c r="I10" s="15">
        <f t="shared" si="1"/>
        <v>0.53333333333333333</v>
      </c>
      <c r="J10" s="10" t="str">
        <f t="shared" si="2"/>
        <v>Gaps</v>
      </c>
    </row>
    <row r="11" spans="1:10" ht="19.5" customHeight="1" x14ac:dyDescent="0.25">
      <c r="A11" s="5" t="s">
        <v>35</v>
      </c>
      <c r="B11" s="5" t="s">
        <v>36</v>
      </c>
      <c r="C11" s="6">
        <v>3</v>
      </c>
      <c r="D11" s="6">
        <v>3</v>
      </c>
      <c r="E11" s="6">
        <v>2</v>
      </c>
      <c r="F11" s="6">
        <v>3</v>
      </c>
      <c r="G11" s="6">
        <v>3</v>
      </c>
      <c r="H11" s="6">
        <f t="shared" si="0"/>
        <v>14</v>
      </c>
      <c r="I11" s="14">
        <f t="shared" si="1"/>
        <v>0.93333333333333335</v>
      </c>
      <c r="J11" s="6" t="str">
        <f t="shared" si="2"/>
        <v>Ready</v>
      </c>
    </row>
    <row r="12" spans="1:10" ht="19.5" customHeight="1" x14ac:dyDescent="0.25">
      <c r="A12" s="9" t="s">
        <v>48</v>
      </c>
      <c r="B12" s="9" t="s">
        <v>49</v>
      </c>
      <c r="C12" s="10">
        <v>3</v>
      </c>
      <c r="D12" s="10">
        <v>2</v>
      </c>
      <c r="E12" s="10">
        <v>2</v>
      </c>
      <c r="F12" s="10">
        <v>3</v>
      </c>
      <c r="G12" s="10">
        <v>3</v>
      </c>
      <c r="H12" s="10">
        <f t="shared" si="0"/>
        <v>13</v>
      </c>
      <c r="I12" s="15">
        <f t="shared" si="1"/>
        <v>0.8666666666666667</v>
      </c>
      <c r="J12" s="10" t="str">
        <f t="shared" si="2"/>
        <v>Ready</v>
      </c>
    </row>
    <row r="13" spans="1:10" ht="19.5" customHeight="1" x14ac:dyDescent="0.25">
      <c r="A13" s="5" t="s">
        <v>78</v>
      </c>
      <c r="B13" s="5" t="s">
        <v>79</v>
      </c>
      <c r="C13" s="6">
        <v>3</v>
      </c>
      <c r="D13" s="6">
        <v>2</v>
      </c>
      <c r="E13" s="6">
        <v>2</v>
      </c>
      <c r="F13" s="6">
        <v>3</v>
      </c>
      <c r="G13" s="6">
        <v>3</v>
      </c>
      <c r="H13" s="6">
        <f t="shared" si="0"/>
        <v>13</v>
      </c>
      <c r="I13" s="14">
        <f t="shared" si="1"/>
        <v>0.8666666666666667</v>
      </c>
      <c r="J13" s="6" t="str">
        <f t="shared" si="2"/>
        <v>Ready</v>
      </c>
    </row>
    <row r="14" spans="1:10" ht="19.5" customHeight="1" x14ac:dyDescent="0.25">
      <c r="A14" s="9" t="s">
        <v>97</v>
      </c>
      <c r="B14" s="9" t="s">
        <v>98</v>
      </c>
      <c r="C14" s="10">
        <v>3</v>
      </c>
      <c r="D14" s="10">
        <v>2</v>
      </c>
      <c r="E14" s="10">
        <v>2</v>
      </c>
      <c r="F14" s="10">
        <v>3</v>
      </c>
      <c r="G14" s="10">
        <v>3</v>
      </c>
      <c r="H14" s="10">
        <f t="shared" si="0"/>
        <v>13</v>
      </c>
      <c r="I14" s="15">
        <f t="shared" si="1"/>
        <v>0.8666666666666667</v>
      </c>
      <c r="J14" s="10" t="str">
        <f t="shared" si="2"/>
        <v>Ready</v>
      </c>
    </row>
    <row r="15" spans="1:10" ht="19.5" customHeight="1" x14ac:dyDescent="0.25">
      <c r="A15" s="5" t="s">
        <v>99</v>
      </c>
      <c r="B15" s="5" t="s">
        <v>100</v>
      </c>
      <c r="C15" s="6">
        <v>1</v>
      </c>
      <c r="D15" s="6">
        <v>1</v>
      </c>
      <c r="E15" s="6">
        <v>2</v>
      </c>
      <c r="F15" s="6">
        <v>2</v>
      </c>
      <c r="G15" s="6">
        <v>2</v>
      </c>
      <c r="H15" s="6">
        <f t="shared" si="0"/>
        <v>8</v>
      </c>
      <c r="I15" s="14">
        <f t="shared" si="1"/>
        <v>0.53333333333333333</v>
      </c>
      <c r="J15" s="6" t="str">
        <f t="shared" si="2"/>
        <v>Gaps</v>
      </c>
    </row>
    <row r="16" spans="1:10" ht="19.5" customHeight="1" x14ac:dyDescent="0.25">
      <c r="A16" s="9" t="s">
        <v>37</v>
      </c>
      <c r="B16" s="9" t="s">
        <v>38</v>
      </c>
      <c r="C16" s="10">
        <v>3</v>
      </c>
      <c r="D16" s="10">
        <v>2</v>
      </c>
      <c r="E16" s="10">
        <v>3</v>
      </c>
      <c r="F16" s="10">
        <v>3</v>
      </c>
      <c r="G16" s="10">
        <v>2</v>
      </c>
      <c r="H16" s="10">
        <f t="shared" si="0"/>
        <v>13</v>
      </c>
      <c r="I16" s="15">
        <f t="shared" si="1"/>
        <v>0.8666666666666667</v>
      </c>
      <c r="J16" s="10" t="str">
        <f t="shared" si="2"/>
        <v>Ready</v>
      </c>
    </row>
    <row r="17" spans="1:10" ht="19.5" customHeight="1" x14ac:dyDescent="0.25">
      <c r="A17" s="5" t="s">
        <v>81</v>
      </c>
      <c r="B17" s="5" t="s">
        <v>82</v>
      </c>
      <c r="C17" s="6">
        <v>3</v>
      </c>
      <c r="D17" s="6">
        <v>2</v>
      </c>
      <c r="E17" s="6">
        <v>2</v>
      </c>
      <c r="F17" s="6">
        <v>3</v>
      </c>
      <c r="G17" s="6">
        <v>3</v>
      </c>
      <c r="H17" s="6">
        <f t="shared" si="0"/>
        <v>13</v>
      </c>
      <c r="I17" s="14">
        <f t="shared" si="1"/>
        <v>0.8666666666666667</v>
      </c>
      <c r="J17" s="6" t="str">
        <f t="shared" si="2"/>
        <v>Ready</v>
      </c>
    </row>
    <row r="18" spans="1:10" ht="19.5" customHeight="1" x14ac:dyDescent="0.25">
      <c r="A18" s="9" t="s">
        <v>101</v>
      </c>
      <c r="B18" s="9" t="s">
        <v>101</v>
      </c>
      <c r="C18" s="10">
        <v>3</v>
      </c>
      <c r="D18" s="10">
        <v>3</v>
      </c>
      <c r="E18" s="10">
        <v>2</v>
      </c>
      <c r="F18" s="10">
        <v>3</v>
      </c>
      <c r="G18" s="10">
        <v>2</v>
      </c>
      <c r="H18" s="10">
        <f t="shared" si="0"/>
        <v>13</v>
      </c>
      <c r="I18" s="15">
        <f t="shared" si="1"/>
        <v>0.8666666666666667</v>
      </c>
      <c r="J18" s="10" t="str">
        <f t="shared" si="2"/>
        <v>Ready</v>
      </c>
    </row>
    <row r="19" spans="1:10" ht="19.5" customHeight="1" x14ac:dyDescent="0.25">
      <c r="A19" s="5" t="s">
        <v>102</v>
      </c>
      <c r="B19" s="5" t="s">
        <v>103</v>
      </c>
      <c r="C19" s="6">
        <v>3</v>
      </c>
      <c r="D19" s="6">
        <v>2</v>
      </c>
      <c r="E19" s="6">
        <v>3</v>
      </c>
      <c r="F19" s="6">
        <v>3</v>
      </c>
      <c r="G19" s="6">
        <v>2</v>
      </c>
      <c r="H19" s="6">
        <f t="shared" si="0"/>
        <v>13</v>
      </c>
      <c r="I19" s="14">
        <f t="shared" si="1"/>
        <v>0.8666666666666667</v>
      </c>
      <c r="J19" s="6" t="str">
        <f t="shared" si="2"/>
        <v>Ready</v>
      </c>
    </row>
    <row r="20" spans="1:10" ht="19.5" customHeight="1" x14ac:dyDescent="0.25">
      <c r="A20" s="9" t="s">
        <v>104</v>
      </c>
      <c r="B20" s="9" t="s">
        <v>105</v>
      </c>
      <c r="C20" s="10">
        <v>3</v>
      </c>
      <c r="D20" s="10">
        <v>1</v>
      </c>
      <c r="E20" s="10">
        <v>2</v>
      </c>
      <c r="F20" s="10">
        <v>2</v>
      </c>
      <c r="G20" s="10">
        <v>2</v>
      </c>
      <c r="H20" s="10">
        <f t="shared" si="0"/>
        <v>10</v>
      </c>
      <c r="I20" s="15">
        <f t="shared" si="1"/>
        <v>0.66666666666666663</v>
      </c>
      <c r="J20" s="10" t="str">
        <f t="shared" si="2"/>
        <v>Viable</v>
      </c>
    </row>
    <row r="21" spans="1:10" ht="19.5" customHeight="1" x14ac:dyDescent="0.25">
      <c r="A21" s="5" t="s">
        <v>106</v>
      </c>
      <c r="B21" s="5" t="s">
        <v>107</v>
      </c>
      <c r="C21" s="6">
        <v>3</v>
      </c>
      <c r="D21" s="6">
        <v>2</v>
      </c>
      <c r="E21" s="6">
        <v>2</v>
      </c>
      <c r="F21" s="6">
        <v>2</v>
      </c>
      <c r="G21" s="6">
        <v>2</v>
      </c>
      <c r="H21" s="6">
        <f t="shared" si="0"/>
        <v>11</v>
      </c>
      <c r="I21" s="14">
        <f t="shared" si="1"/>
        <v>0.73333333333333328</v>
      </c>
      <c r="J21" s="6" t="str">
        <f t="shared" si="2"/>
        <v>Viable</v>
      </c>
    </row>
    <row r="22" spans="1:10" ht="19.5" customHeight="1" x14ac:dyDescent="0.25">
      <c r="A22" s="9" t="s">
        <v>108</v>
      </c>
      <c r="B22" s="9" t="s">
        <v>108</v>
      </c>
      <c r="C22" s="10">
        <v>3</v>
      </c>
      <c r="D22" s="10">
        <v>2</v>
      </c>
      <c r="E22" s="10">
        <v>1</v>
      </c>
      <c r="F22" s="10">
        <v>2</v>
      </c>
      <c r="G22" s="10">
        <v>1</v>
      </c>
      <c r="H22" s="10">
        <f t="shared" si="0"/>
        <v>9</v>
      </c>
      <c r="I22" s="15">
        <f t="shared" si="1"/>
        <v>0.6</v>
      </c>
      <c r="J22" s="10" t="str">
        <f t="shared" si="2"/>
        <v>Gaps</v>
      </c>
    </row>
    <row r="23" spans="1:10" ht="19.5" customHeight="1" x14ac:dyDescent="0.25">
      <c r="A23" s="5" t="s">
        <v>109</v>
      </c>
      <c r="B23" s="5" t="s">
        <v>110</v>
      </c>
      <c r="C23" s="6">
        <v>3</v>
      </c>
      <c r="D23" s="6">
        <v>2</v>
      </c>
      <c r="E23" s="6">
        <v>1</v>
      </c>
      <c r="F23" s="6">
        <v>2</v>
      </c>
      <c r="G23" s="6">
        <v>2</v>
      </c>
      <c r="H23" s="6">
        <f t="shared" si="0"/>
        <v>10</v>
      </c>
      <c r="I23" s="14">
        <f t="shared" si="1"/>
        <v>0.66666666666666663</v>
      </c>
      <c r="J23" s="6" t="str">
        <f t="shared" si="2"/>
        <v>Viable</v>
      </c>
    </row>
    <row r="24" spans="1:10" ht="19.5" customHeight="1" x14ac:dyDescent="0.25">
      <c r="A24" s="9" t="s">
        <v>46</v>
      </c>
      <c r="B24" s="9" t="s">
        <v>46</v>
      </c>
      <c r="C24" s="10">
        <v>3</v>
      </c>
      <c r="D24" s="10">
        <v>2</v>
      </c>
      <c r="E24" s="10">
        <v>2</v>
      </c>
      <c r="F24" s="10">
        <v>2</v>
      </c>
      <c r="G24" s="10">
        <v>2</v>
      </c>
      <c r="H24" s="10">
        <v>11</v>
      </c>
      <c r="I24" s="15">
        <f t="shared" si="1"/>
        <v>0.73333333333333328</v>
      </c>
      <c r="J24" s="10" t="str">
        <f t="shared" si="2"/>
        <v>Viable</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14"/>
  <sheetViews>
    <sheetView zoomScaleNormal="100" workbookViewId="0">
      <pane ySplit="4" topLeftCell="A5" activePane="bottomLeft" state="frozen"/>
      <selection pane="bottomLeft" activeCell="I22" sqref="I22"/>
    </sheetView>
  </sheetViews>
  <sheetFormatPr defaultColWidth="8.7109375" defaultRowHeight="15" x14ac:dyDescent="0.25"/>
  <cols>
    <col min="1" max="2" width="18" customWidth="1"/>
    <col min="3" max="3" width="42" customWidth="1"/>
    <col min="4" max="6" width="18" customWidth="1"/>
    <col min="7" max="8" width="16" customWidth="1"/>
    <col min="9" max="9" width="40" customWidth="1"/>
  </cols>
  <sheetData>
    <row r="1" spans="1:9" ht="24" customHeight="1" x14ac:dyDescent="0.25">
      <c r="A1" s="1" t="s">
        <v>111</v>
      </c>
    </row>
    <row r="2" spans="1:9" ht="15" customHeight="1" x14ac:dyDescent="0.25">
      <c r="A2" s="2" t="s">
        <v>112</v>
      </c>
    </row>
    <row r="3" spans="1:9" ht="6" customHeight="1" x14ac:dyDescent="0.25"/>
    <row r="4" spans="1:9" ht="30" customHeight="1" x14ac:dyDescent="0.25">
      <c r="A4" s="4" t="s">
        <v>4</v>
      </c>
      <c r="B4" s="4" t="s">
        <v>5</v>
      </c>
      <c r="C4" s="4" t="s">
        <v>113</v>
      </c>
      <c r="D4" s="4" t="s">
        <v>6</v>
      </c>
      <c r="E4" s="4" t="s">
        <v>114</v>
      </c>
      <c r="F4" s="4" t="s">
        <v>115</v>
      </c>
      <c r="G4" s="4" t="s">
        <v>116</v>
      </c>
      <c r="H4" s="4" t="s">
        <v>7</v>
      </c>
      <c r="I4" s="4" t="s">
        <v>117</v>
      </c>
    </row>
    <row r="5" spans="1:9" ht="19.5" customHeight="1" x14ac:dyDescent="0.25">
      <c r="A5" s="5" t="s">
        <v>60</v>
      </c>
      <c r="B5" s="5" t="s">
        <v>22</v>
      </c>
      <c r="C5" s="5" t="s">
        <v>118</v>
      </c>
      <c r="D5" s="6" t="s">
        <v>119</v>
      </c>
      <c r="E5" s="16">
        <v>45689</v>
      </c>
      <c r="F5" s="16">
        <v>45704</v>
      </c>
      <c r="G5" s="17">
        <f t="shared" ref="G5:G14" si="0">F5-E5</f>
        <v>15</v>
      </c>
      <c r="H5" s="18" t="s">
        <v>17</v>
      </c>
      <c r="I5" s="6" t="s">
        <v>20</v>
      </c>
    </row>
    <row r="6" spans="1:9" ht="19.5" customHeight="1" x14ac:dyDescent="0.25">
      <c r="A6" s="9" t="s">
        <v>35</v>
      </c>
      <c r="B6" s="9" t="s">
        <v>36</v>
      </c>
      <c r="C6" s="9" t="s">
        <v>120</v>
      </c>
      <c r="D6" s="10" t="s">
        <v>121</v>
      </c>
      <c r="E6" s="19">
        <v>45689</v>
      </c>
      <c r="F6" s="19">
        <v>45704</v>
      </c>
      <c r="G6" s="20">
        <f t="shared" si="0"/>
        <v>15</v>
      </c>
      <c r="H6" s="18" t="s">
        <v>17</v>
      </c>
      <c r="I6" s="10" t="s">
        <v>20</v>
      </c>
    </row>
    <row r="7" spans="1:9" ht="19.5" customHeight="1" x14ac:dyDescent="0.25">
      <c r="A7" s="5" t="s">
        <v>14</v>
      </c>
      <c r="B7" s="5" t="s">
        <v>15</v>
      </c>
      <c r="C7" s="5" t="s">
        <v>120</v>
      </c>
      <c r="D7" s="6" t="s">
        <v>122</v>
      </c>
      <c r="E7" s="16">
        <v>45717</v>
      </c>
      <c r="F7" s="16">
        <v>45736</v>
      </c>
      <c r="G7" s="17">
        <f t="shared" si="0"/>
        <v>19</v>
      </c>
      <c r="H7" s="18" t="s">
        <v>17</v>
      </c>
      <c r="I7" s="6" t="s">
        <v>20</v>
      </c>
    </row>
    <row r="8" spans="1:9" ht="19.5" customHeight="1" x14ac:dyDescent="0.25">
      <c r="A8" s="9" t="s">
        <v>32</v>
      </c>
      <c r="B8" s="9" t="s">
        <v>33</v>
      </c>
      <c r="C8" s="9" t="s">
        <v>123</v>
      </c>
      <c r="D8" s="10" t="s">
        <v>121</v>
      </c>
      <c r="E8" s="19">
        <v>45944</v>
      </c>
      <c r="F8" s="19">
        <v>45962</v>
      </c>
      <c r="G8" s="20">
        <f t="shared" si="0"/>
        <v>18</v>
      </c>
      <c r="H8" s="18" t="s">
        <v>17</v>
      </c>
      <c r="I8" s="10" t="s">
        <v>20</v>
      </c>
    </row>
    <row r="9" spans="1:9" ht="19.5" customHeight="1" x14ac:dyDescent="0.25">
      <c r="A9" s="5" t="s">
        <v>29</v>
      </c>
      <c r="B9" s="5" t="s">
        <v>30</v>
      </c>
      <c r="C9" s="5" t="s">
        <v>124</v>
      </c>
      <c r="D9" s="6" t="s">
        <v>121</v>
      </c>
      <c r="E9" s="16">
        <v>46037</v>
      </c>
      <c r="F9" s="16">
        <v>46058</v>
      </c>
      <c r="G9" s="17">
        <f t="shared" si="0"/>
        <v>21</v>
      </c>
      <c r="H9" s="18" t="s">
        <v>17</v>
      </c>
      <c r="I9" s="6" t="s">
        <v>20</v>
      </c>
    </row>
    <row r="10" spans="1:9" ht="19.5" customHeight="1" x14ac:dyDescent="0.25">
      <c r="A10" s="9" t="s">
        <v>60</v>
      </c>
      <c r="B10" s="9" t="s">
        <v>22</v>
      </c>
      <c r="C10" s="9" t="s">
        <v>118</v>
      </c>
      <c r="D10" s="10" t="s">
        <v>125</v>
      </c>
      <c r="E10" s="19">
        <v>46054</v>
      </c>
      <c r="F10" s="19">
        <v>46096</v>
      </c>
      <c r="G10" s="20">
        <f t="shared" si="0"/>
        <v>42</v>
      </c>
      <c r="H10" s="21" t="s">
        <v>25</v>
      </c>
      <c r="I10" s="10" t="s">
        <v>28</v>
      </c>
    </row>
    <row r="11" spans="1:9" ht="19.5" customHeight="1" x14ac:dyDescent="0.25">
      <c r="A11" s="5" t="s">
        <v>37</v>
      </c>
      <c r="B11" s="5" t="s">
        <v>38</v>
      </c>
      <c r="C11" s="5" t="s">
        <v>126</v>
      </c>
      <c r="D11" s="6" t="s">
        <v>39</v>
      </c>
      <c r="E11" s="16">
        <v>46065</v>
      </c>
      <c r="F11" s="16">
        <v>46080</v>
      </c>
      <c r="G11" s="17">
        <f t="shared" si="0"/>
        <v>15</v>
      </c>
      <c r="H11" s="21" t="s">
        <v>25</v>
      </c>
      <c r="I11" s="6" t="s">
        <v>127</v>
      </c>
    </row>
    <row r="12" spans="1:9" ht="19.5" customHeight="1" x14ac:dyDescent="0.25">
      <c r="A12" s="22" t="s">
        <v>46</v>
      </c>
      <c r="B12" s="22" t="s">
        <v>46</v>
      </c>
      <c r="C12" s="22" t="s">
        <v>83</v>
      </c>
      <c r="D12" s="11" t="s">
        <v>42</v>
      </c>
      <c r="E12" s="23">
        <v>46080</v>
      </c>
      <c r="F12" s="23">
        <v>46111</v>
      </c>
      <c r="G12" s="20">
        <f t="shared" si="0"/>
        <v>31</v>
      </c>
      <c r="H12" s="21" t="s">
        <v>25</v>
      </c>
      <c r="I12" s="11" t="s">
        <v>128</v>
      </c>
    </row>
    <row r="13" spans="1:9" ht="19.5" customHeight="1" x14ac:dyDescent="0.25">
      <c r="A13" s="24" t="s">
        <v>129</v>
      </c>
      <c r="B13" s="24" t="s">
        <v>130</v>
      </c>
      <c r="C13" s="24" t="s">
        <v>131</v>
      </c>
      <c r="D13" s="8" t="s">
        <v>42</v>
      </c>
      <c r="E13" s="25">
        <v>46080</v>
      </c>
      <c r="F13" s="25">
        <v>46142</v>
      </c>
      <c r="G13" s="17">
        <f t="shared" si="0"/>
        <v>62</v>
      </c>
      <c r="H13" s="21" t="s">
        <v>25</v>
      </c>
      <c r="I13" s="8" t="s">
        <v>128</v>
      </c>
    </row>
    <row r="14" spans="1:9" ht="19.5" customHeight="1" x14ac:dyDescent="0.25">
      <c r="A14" s="22" t="s">
        <v>48</v>
      </c>
      <c r="B14" s="22" t="s">
        <v>48</v>
      </c>
      <c r="C14" s="22" t="s">
        <v>59</v>
      </c>
      <c r="D14" s="11" t="s">
        <v>42</v>
      </c>
      <c r="E14" s="23">
        <v>46080</v>
      </c>
      <c r="F14" s="23">
        <v>46203</v>
      </c>
      <c r="G14" s="20">
        <f t="shared" si="0"/>
        <v>123</v>
      </c>
      <c r="H14" s="21" t="s">
        <v>25</v>
      </c>
      <c r="I14" s="11" t="s">
        <v>132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sheetPr>
  <dimension ref="A1:J13"/>
  <sheetViews>
    <sheetView zoomScaleNormal="100" workbookViewId="0">
      <pane ySplit="4" topLeftCell="A5" activePane="bottomLeft" state="frozen"/>
      <selection pane="bottomLeft" activeCell="H22" sqref="H22"/>
    </sheetView>
  </sheetViews>
  <sheetFormatPr defaultColWidth="8.7109375" defaultRowHeight="15" x14ac:dyDescent="0.25"/>
  <cols>
    <col min="1" max="2" width="20" customWidth="1"/>
    <col min="3" max="10" width="15" customWidth="1"/>
  </cols>
  <sheetData>
    <row r="1" spans="1:10" ht="24" customHeight="1" x14ac:dyDescent="0.25">
      <c r="A1" s="1" t="s">
        <v>133</v>
      </c>
    </row>
    <row r="2" spans="1:10" ht="15" customHeight="1" x14ac:dyDescent="0.25">
      <c r="A2" s="2" t="s">
        <v>134</v>
      </c>
    </row>
    <row r="3" spans="1:10" ht="6" customHeight="1" x14ac:dyDescent="0.25"/>
    <row r="4" spans="1:10" ht="30" customHeight="1" x14ac:dyDescent="0.25">
      <c r="A4" s="4" t="s">
        <v>4</v>
      </c>
      <c r="B4" s="4" t="s">
        <v>5</v>
      </c>
      <c r="C4" s="4" t="s">
        <v>135</v>
      </c>
      <c r="D4" s="4" t="s">
        <v>136</v>
      </c>
      <c r="E4" s="4" t="s">
        <v>137</v>
      </c>
      <c r="F4" s="4" t="s">
        <v>138</v>
      </c>
      <c r="G4" s="4" t="s">
        <v>139</v>
      </c>
      <c r="H4" s="4" t="s">
        <v>140</v>
      </c>
      <c r="I4" s="4" t="s">
        <v>141</v>
      </c>
      <c r="J4" s="4" t="s">
        <v>142</v>
      </c>
    </row>
    <row r="5" spans="1:10" ht="19.5" customHeight="1" x14ac:dyDescent="0.25">
      <c r="A5" s="5" t="s">
        <v>14</v>
      </c>
      <c r="B5" s="5" t="s">
        <v>15</v>
      </c>
      <c r="C5" s="6" t="s">
        <v>143</v>
      </c>
      <c r="D5" s="6" t="s">
        <v>144</v>
      </c>
      <c r="E5" s="6" t="s">
        <v>145</v>
      </c>
      <c r="F5" s="6" t="s">
        <v>146</v>
      </c>
      <c r="G5" s="6" t="s">
        <v>146</v>
      </c>
      <c r="H5" s="6" t="s">
        <v>146</v>
      </c>
      <c r="I5" s="6" t="s">
        <v>146</v>
      </c>
      <c r="J5" s="26">
        <f t="shared" ref="J5:J13" si="0">COUNTIF(E5:I5,"Yes")+COUNTIF(E5:I5,"Partial")*0.5</f>
        <v>4</v>
      </c>
    </row>
    <row r="6" spans="1:10" ht="19.5" customHeight="1" x14ac:dyDescent="0.25">
      <c r="A6" s="9" t="s">
        <v>21</v>
      </c>
      <c r="B6" s="9" t="s">
        <v>22</v>
      </c>
      <c r="C6" s="10" t="s">
        <v>143</v>
      </c>
      <c r="D6" s="10" t="s">
        <v>144</v>
      </c>
      <c r="E6" s="10" t="s">
        <v>145</v>
      </c>
      <c r="F6" s="10" t="s">
        <v>146</v>
      </c>
      <c r="G6" s="10" t="s">
        <v>146</v>
      </c>
      <c r="H6" s="10" t="s">
        <v>146</v>
      </c>
      <c r="I6" s="10" t="s">
        <v>146</v>
      </c>
      <c r="J6" s="27">
        <f t="shared" si="0"/>
        <v>4</v>
      </c>
    </row>
    <row r="7" spans="1:10" ht="19.5" customHeight="1" x14ac:dyDescent="0.25">
      <c r="A7" s="5" t="s">
        <v>24</v>
      </c>
      <c r="B7" s="5" t="s">
        <v>22</v>
      </c>
      <c r="C7" s="6" t="s">
        <v>147</v>
      </c>
      <c r="D7" s="6" t="s">
        <v>148</v>
      </c>
      <c r="E7" s="6" t="s">
        <v>149</v>
      </c>
      <c r="F7" s="6" t="s">
        <v>146</v>
      </c>
      <c r="G7" s="6" t="s">
        <v>146</v>
      </c>
      <c r="H7" s="6" t="s">
        <v>146</v>
      </c>
      <c r="I7" s="6" t="s">
        <v>146</v>
      </c>
      <c r="J7" s="26">
        <f t="shared" si="0"/>
        <v>4.5</v>
      </c>
    </row>
    <row r="8" spans="1:10" ht="19.5" customHeight="1" x14ac:dyDescent="0.25">
      <c r="A8" s="9" t="s">
        <v>29</v>
      </c>
      <c r="B8" s="9" t="s">
        <v>30</v>
      </c>
      <c r="C8" s="10" t="s">
        <v>147</v>
      </c>
      <c r="D8" s="10" t="s">
        <v>148</v>
      </c>
      <c r="E8" s="10" t="s">
        <v>149</v>
      </c>
      <c r="F8" s="10" t="s">
        <v>146</v>
      </c>
      <c r="G8" s="10" t="s">
        <v>146</v>
      </c>
      <c r="H8" s="10" t="s">
        <v>146</v>
      </c>
      <c r="I8" s="10" t="s">
        <v>146</v>
      </c>
      <c r="J8" s="27">
        <f t="shared" si="0"/>
        <v>4.5</v>
      </c>
    </row>
    <row r="9" spans="1:10" ht="19.5" customHeight="1" x14ac:dyDescent="0.25">
      <c r="A9" s="5" t="s">
        <v>32</v>
      </c>
      <c r="B9" s="5" t="s">
        <v>33</v>
      </c>
      <c r="C9" s="6" t="s">
        <v>147</v>
      </c>
      <c r="D9" s="6" t="s">
        <v>148</v>
      </c>
      <c r="E9" s="6" t="s">
        <v>149</v>
      </c>
      <c r="F9" s="6" t="s">
        <v>146</v>
      </c>
      <c r="G9" s="6" t="s">
        <v>146</v>
      </c>
      <c r="H9" s="6" t="s">
        <v>146</v>
      </c>
      <c r="I9" s="6" t="s">
        <v>146</v>
      </c>
      <c r="J9" s="26">
        <f t="shared" si="0"/>
        <v>4.5</v>
      </c>
    </row>
    <row r="10" spans="1:10" ht="19.5" customHeight="1" x14ac:dyDescent="0.25">
      <c r="A10" s="9" t="s">
        <v>35</v>
      </c>
      <c r="B10" s="9" t="s">
        <v>36</v>
      </c>
      <c r="C10" s="10" t="s">
        <v>147</v>
      </c>
      <c r="D10" s="10" t="s">
        <v>148</v>
      </c>
      <c r="E10" s="10" t="s">
        <v>146</v>
      </c>
      <c r="F10" s="10" t="s">
        <v>146</v>
      </c>
      <c r="G10" s="10" t="s">
        <v>146</v>
      </c>
      <c r="H10" s="10" t="s">
        <v>146</v>
      </c>
      <c r="I10" s="10" t="s">
        <v>149</v>
      </c>
      <c r="J10" s="27">
        <f t="shared" si="0"/>
        <v>4.5</v>
      </c>
    </row>
    <row r="11" spans="1:10" ht="19.5" customHeight="1" x14ac:dyDescent="0.25">
      <c r="A11" s="5" t="s">
        <v>48</v>
      </c>
      <c r="B11" s="5" t="s">
        <v>49</v>
      </c>
      <c r="C11" s="6" t="s">
        <v>147</v>
      </c>
      <c r="D11" s="6" t="s">
        <v>148</v>
      </c>
      <c r="E11" s="6" t="s">
        <v>146</v>
      </c>
      <c r="F11" s="6" t="s">
        <v>146</v>
      </c>
      <c r="G11" s="6" t="s">
        <v>146</v>
      </c>
      <c r="H11" s="6" t="s">
        <v>146</v>
      </c>
      <c r="I11" s="6" t="s">
        <v>149</v>
      </c>
      <c r="J11" s="26">
        <f t="shared" si="0"/>
        <v>4.5</v>
      </c>
    </row>
    <row r="12" spans="1:10" ht="19.5" customHeight="1" x14ac:dyDescent="0.25">
      <c r="A12" s="9" t="s">
        <v>37</v>
      </c>
      <c r="B12" s="9" t="s">
        <v>38</v>
      </c>
      <c r="C12" s="10" t="s">
        <v>147</v>
      </c>
      <c r="D12" s="10" t="s">
        <v>148</v>
      </c>
      <c r="E12" s="10" t="s">
        <v>150</v>
      </c>
      <c r="F12" s="10" t="s">
        <v>146</v>
      </c>
      <c r="G12" s="10" t="s">
        <v>146</v>
      </c>
      <c r="H12" s="10" t="s">
        <v>146</v>
      </c>
      <c r="I12" s="10" t="s">
        <v>146</v>
      </c>
      <c r="J12" s="27">
        <f t="shared" si="0"/>
        <v>4</v>
      </c>
    </row>
    <row r="13" spans="1:10" ht="19.5" customHeight="1" x14ac:dyDescent="0.25">
      <c r="A13" s="5" t="s">
        <v>46</v>
      </c>
      <c r="B13" s="5" t="s">
        <v>46</v>
      </c>
      <c r="C13" s="6" t="s">
        <v>147</v>
      </c>
      <c r="D13" s="6" t="s">
        <v>148</v>
      </c>
      <c r="E13" s="6" t="s">
        <v>146</v>
      </c>
      <c r="F13" s="6" t="s">
        <v>146</v>
      </c>
      <c r="G13" s="6" t="s">
        <v>146</v>
      </c>
      <c r="H13" s="6" t="s">
        <v>146</v>
      </c>
      <c r="I13" s="6" t="s">
        <v>149</v>
      </c>
      <c r="J13" s="26">
        <f t="shared" si="0"/>
        <v>4.5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8080"/>
  </sheetPr>
  <dimension ref="A1:G19"/>
  <sheetViews>
    <sheetView zoomScale="115" zoomScaleNormal="115" workbookViewId="0">
      <pane ySplit="4" topLeftCell="A5" activePane="bottomLeft" state="frozen"/>
      <selection pane="bottomLeft" activeCell="A16" sqref="A16"/>
    </sheetView>
  </sheetViews>
  <sheetFormatPr defaultColWidth="8.7109375" defaultRowHeight="15" x14ac:dyDescent="0.25"/>
  <cols>
    <col min="1" max="3" width="22" customWidth="1"/>
    <col min="4" max="4" width="14" customWidth="1"/>
    <col min="5" max="6" width="20" customWidth="1"/>
    <col min="7" max="7" width="30" customWidth="1"/>
  </cols>
  <sheetData>
    <row r="1" spans="1:7" ht="24" customHeight="1" x14ac:dyDescent="0.25">
      <c r="A1" s="1" t="s">
        <v>151</v>
      </c>
    </row>
    <row r="2" spans="1:7" ht="15" customHeight="1" x14ac:dyDescent="0.25">
      <c r="A2" s="2" t="s">
        <v>152</v>
      </c>
    </row>
    <row r="3" spans="1:7" ht="6" customHeight="1" x14ac:dyDescent="0.25"/>
    <row r="4" spans="1:7" ht="30" customHeight="1" x14ac:dyDescent="0.25">
      <c r="A4" s="4" t="s">
        <v>4</v>
      </c>
      <c r="B4" s="4" t="s">
        <v>5</v>
      </c>
      <c r="C4" s="4" t="s">
        <v>153</v>
      </c>
      <c r="D4" s="4" t="s">
        <v>154</v>
      </c>
      <c r="E4" s="4" t="s">
        <v>155</v>
      </c>
      <c r="F4" s="4" t="s">
        <v>156</v>
      </c>
      <c r="G4" s="4" t="s">
        <v>117</v>
      </c>
    </row>
    <row r="5" spans="1:7" ht="19.5" customHeight="1" x14ac:dyDescent="0.25">
      <c r="A5" s="5" t="s">
        <v>95</v>
      </c>
      <c r="B5" s="5" t="s">
        <v>96</v>
      </c>
      <c r="C5" s="6" t="s">
        <v>157</v>
      </c>
      <c r="D5" s="6" t="s">
        <v>18</v>
      </c>
      <c r="E5" s="6" t="s">
        <v>158</v>
      </c>
      <c r="F5" s="8">
        <v>1</v>
      </c>
      <c r="G5" s="6"/>
    </row>
    <row r="6" spans="1:7" ht="19.5" customHeight="1" x14ac:dyDescent="0.25">
      <c r="A6" s="9" t="s">
        <v>78</v>
      </c>
      <c r="B6" s="9" t="s">
        <v>79</v>
      </c>
      <c r="C6" s="10" t="s">
        <v>159</v>
      </c>
      <c r="D6" s="10" t="s">
        <v>69</v>
      </c>
      <c r="E6" s="10" t="s">
        <v>80</v>
      </c>
      <c r="F6" s="11">
        <v>0</v>
      </c>
      <c r="G6" s="10"/>
    </row>
    <row r="7" spans="1:7" ht="19.5" customHeight="1" x14ac:dyDescent="0.25">
      <c r="A7" s="5" t="s">
        <v>97</v>
      </c>
      <c r="B7" s="5" t="s">
        <v>98</v>
      </c>
      <c r="C7" s="6" t="s">
        <v>159</v>
      </c>
      <c r="D7" s="6" t="s">
        <v>69</v>
      </c>
      <c r="E7" s="6" t="s">
        <v>158</v>
      </c>
      <c r="F7" s="8">
        <v>0</v>
      </c>
      <c r="G7" s="6"/>
    </row>
    <row r="8" spans="1:7" ht="19.5" customHeight="1" x14ac:dyDescent="0.25">
      <c r="A8" s="9" t="s">
        <v>99</v>
      </c>
      <c r="B8" s="9" t="s">
        <v>100</v>
      </c>
      <c r="C8" s="10" t="s">
        <v>160</v>
      </c>
      <c r="D8" s="10" t="s">
        <v>26</v>
      </c>
      <c r="E8" s="10" t="s">
        <v>158</v>
      </c>
      <c r="F8" s="11">
        <v>0</v>
      </c>
      <c r="G8" s="10"/>
    </row>
    <row r="9" spans="1:7" ht="19.5" customHeight="1" x14ac:dyDescent="0.25">
      <c r="A9" s="5" t="s">
        <v>81</v>
      </c>
      <c r="B9" s="5" t="s">
        <v>82</v>
      </c>
      <c r="C9" s="6" t="s">
        <v>159</v>
      </c>
      <c r="D9" s="6" t="s">
        <v>69</v>
      </c>
      <c r="E9" s="6" t="s">
        <v>158</v>
      </c>
      <c r="F9" s="8">
        <v>0</v>
      </c>
      <c r="G9" s="6"/>
    </row>
    <row r="10" spans="1:7" ht="19.5" customHeight="1" x14ac:dyDescent="0.25">
      <c r="A10" s="9" t="s">
        <v>101</v>
      </c>
      <c r="B10" s="9" t="s">
        <v>101</v>
      </c>
      <c r="C10" s="10" t="s">
        <v>159</v>
      </c>
      <c r="D10" s="10" t="s">
        <v>69</v>
      </c>
      <c r="E10" s="10" t="s">
        <v>158</v>
      </c>
      <c r="F10" s="11">
        <v>0</v>
      </c>
      <c r="G10" s="10"/>
    </row>
    <row r="11" spans="1:7" ht="19.5" customHeight="1" x14ac:dyDescent="0.25">
      <c r="A11" s="5" t="s">
        <v>102</v>
      </c>
      <c r="B11" s="5" t="s">
        <v>103</v>
      </c>
      <c r="C11" s="6" t="s">
        <v>161</v>
      </c>
      <c r="D11" s="6" t="s">
        <v>26</v>
      </c>
      <c r="E11" s="6" t="s">
        <v>158</v>
      </c>
      <c r="F11" s="8">
        <v>1</v>
      </c>
      <c r="G11" s="6"/>
    </row>
    <row r="12" spans="1:7" ht="19.5" customHeight="1" x14ac:dyDescent="0.25">
      <c r="A12" s="9" t="s">
        <v>104</v>
      </c>
      <c r="B12" s="9" t="s">
        <v>105</v>
      </c>
      <c r="C12" s="10" t="s">
        <v>162</v>
      </c>
      <c r="D12" s="10" t="s">
        <v>26</v>
      </c>
      <c r="E12" s="10" t="s">
        <v>158</v>
      </c>
      <c r="F12" s="11">
        <v>0</v>
      </c>
      <c r="G12" s="10"/>
    </row>
    <row r="13" spans="1:7" ht="19.5" customHeight="1" x14ac:dyDescent="0.25">
      <c r="A13" s="5" t="s">
        <v>106</v>
      </c>
      <c r="B13" s="5" t="s">
        <v>107</v>
      </c>
      <c r="C13" s="6" t="s">
        <v>163</v>
      </c>
      <c r="D13" s="6" t="s">
        <v>26</v>
      </c>
      <c r="E13" s="6" t="s">
        <v>158</v>
      </c>
      <c r="F13" s="8">
        <v>0</v>
      </c>
      <c r="G13" s="6"/>
    </row>
    <row r="14" spans="1:7" ht="19.5" customHeight="1" x14ac:dyDescent="0.25">
      <c r="A14" s="9" t="s">
        <v>108</v>
      </c>
      <c r="B14" s="9" t="s">
        <v>108</v>
      </c>
      <c r="C14" s="10" t="s">
        <v>162</v>
      </c>
      <c r="D14" s="10" t="s">
        <v>26</v>
      </c>
      <c r="E14" s="10" t="s">
        <v>158</v>
      </c>
      <c r="F14" s="11">
        <v>0</v>
      </c>
      <c r="G14" s="10"/>
    </row>
    <row r="15" spans="1:7" ht="19.5" customHeight="1" x14ac:dyDescent="0.25">
      <c r="A15" s="5" t="s">
        <v>109</v>
      </c>
      <c r="B15" s="5" t="s">
        <v>110</v>
      </c>
      <c r="C15" s="6" t="s">
        <v>159</v>
      </c>
      <c r="D15" s="6" t="s">
        <v>26</v>
      </c>
      <c r="E15" s="6" t="s">
        <v>158</v>
      </c>
      <c r="F15" s="8">
        <v>0</v>
      </c>
      <c r="G15" s="6"/>
    </row>
    <row r="16" spans="1:7" ht="19.5" customHeight="1" x14ac:dyDescent="0.25">
      <c r="A16" s="9" t="s">
        <v>164</v>
      </c>
      <c r="B16" s="9" t="s">
        <v>165</v>
      </c>
      <c r="C16" s="10" t="s">
        <v>159</v>
      </c>
      <c r="D16" s="10" t="s">
        <v>26</v>
      </c>
      <c r="E16" s="10" t="s">
        <v>158</v>
      </c>
      <c r="F16" s="11">
        <v>0</v>
      </c>
      <c r="G16" s="10"/>
    </row>
    <row r="17" spans="1:7" ht="19.5" customHeight="1" x14ac:dyDescent="0.25">
      <c r="A17" s="5" t="s">
        <v>59</v>
      </c>
      <c r="B17" s="5" t="s">
        <v>166</v>
      </c>
      <c r="C17" s="6" t="s">
        <v>59</v>
      </c>
      <c r="D17" s="6" t="s">
        <v>18</v>
      </c>
      <c r="E17" s="6" t="s">
        <v>158</v>
      </c>
      <c r="F17" s="8">
        <v>0</v>
      </c>
      <c r="G17" s="6"/>
    </row>
    <row r="18" spans="1:7" ht="19.5" customHeight="1" x14ac:dyDescent="0.25">
      <c r="A18" s="9" t="s">
        <v>75</v>
      </c>
      <c r="B18" s="9" t="s">
        <v>76</v>
      </c>
      <c r="C18" s="10" t="s">
        <v>159</v>
      </c>
      <c r="D18" s="10" t="s">
        <v>26</v>
      </c>
      <c r="E18" s="10" t="s">
        <v>158</v>
      </c>
      <c r="F18" s="11">
        <v>6</v>
      </c>
      <c r="G18" s="10" t="s">
        <v>167</v>
      </c>
    </row>
    <row r="19" spans="1:7" ht="19.5" customHeight="1" x14ac:dyDescent="0.25">
      <c r="A19" s="5" t="s">
        <v>168</v>
      </c>
      <c r="B19" s="5" t="s">
        <v>168</v>
      </c>
      <c r="C19" s="6" t="s">
        <v>159</v>
      </c>
      <c r="D19" s="6" t="s">
        <v>18</v>
      </c>
      <c r="E19" s="6" t="s">
        <v>158</v>
      </c>
      <c r="F19" s="8">
        <v>1</v>
      </c>
      <c r="G19" s="6"/>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
  <sheetViews>
    <sheetView zoomScaleNormal="100" workbookViewId="0">
      <pane ySplit="4" topLeftCell="A5" activePane="bottomLeft" state="frozen"/>
      <selection pane="bottomLeft" activeCell="B30" sqref="B30"/>
    </sheetView>
  </sheetViews>
  <sheetFormatPr defaultColWidth="8.7109375" defaultRowHeight="15" x14ac:dyDescent="0.25"/>
  <cols>
    <col min="1" max="1" width="22" customWidth="1"/>
    <col min="2" max="2" width="20" customWidth="1"/>
    <col min="3" max="7" width="16" customWidth="1"/>
    <col min="8" max="8" width="22" customWidth="1"/>
    <col min="9" max="9" width="34" customWidth="1"/>
  </cols>
  <sheetData>
    <row r="1" spans="1:9" ht="25.5" customHeight="1" x14ac:dyDescent="0.25">
      <c r="A1" s="1" t="s">
        <v>169</v>
      </c>
    </row>
    <row r="2" spans="1:9" ht="38.25" x14ac:dyDescent="0.25">
      <c r="A2" s="2" t="s">
        <v>170</v>
      </c>
    </row>
    <row r="3" spans="1:9" ht="6" hidden="1" customHeight="1" x14ac:dyDescent="0.25"/>
    <row r="4" spans="1:9" ht="30" customHeight="1" x14ac:dyDescent="0.25">
      <c r="A4" s="28" t="s">
        <v>171</v>
      </c>
      <c r="B4" s="28" t="s">
        <v>5</v>
      </c>
      <c r="C4" s="28" t="s">
        <v>172</v>
      </c>
      <c r="D4" s="28" t="s">
        <v>173</v>
      </c>
      <c r="E4" s="28" t="s">
        <v>174</v>
      </c>
      <c r="F4" s="28" t="s">
        <v>175</v>
      </c>
      <c r="G4" s="28" t="s">
        <v>176</v>
      </c>
      <c r="H4" s="28" t="s">
        <v>7</v>
      </c>
      <c r="I4" s="28" t="s">
        <v>117</v>
      </c>
    </row>
    <row r="5" spans="1:9" ht="19.5" customHeight="1" x14ac:dyDescent="0.25">
      <c r="A5" s="24" t="s">
        <v>177</v>
      </c>
      <c r="B5" s="24" t="s">
        <v>15</v>
      </c>
      <c r="C5" s="8" t="s">
        <v>178</v>
      </c>
      <c r="D5" s="29">
        <v>180</v>
      </c>
      <c r="E5" s="8" t="s">
        <v>179</v>
      </c>
      <c r="F5" s="8" t="s">
        <v>179</v>
      </c>
      <c r="G5" s="8" t="s">
        <v>179</v>
      </c>
      <c r="H5" s="30" t="s">
        <v>17</v>
      </c>
      <c r="I5" s="24" t="s">
        <v>180</v>
      </c>
    </row>
    <row r="6" spans="1:9" ht="19.5" customHeight="1" x14ac:dyDescent="0.25">
      <c r="A6" s="22" t="s">
        <v>21</v>
      </c>
      <c r="B6" s="22" t="s">
        <v>22</v>
      </c>
      <c r="C6" s="11" t="s">
        <v>178</v>
      </c>
      <c r="D6" s="31">
        <v>35</v>
      </c>
      <c r="E6" s="11" t="s">
        <v>179</v>
      </c>
      <c r="F6" s="11" t="s">
        <v>179</v>
      </c>
      <c r="G6" s="11" t="s">
        <v>179</v>
      </c>
      <c r="H6" s="30" t="s">
        <v>17</v>
      </c>
      <c r="I6" s="22" t="s">
        <v>181</v>
      </c>
    </row>
    <row r="7" spans="1:9" ht="19.5" customHeight="1" x14ac:dyDescent="0.25">
      <c r="A7" s="24" t="s">
        <v>35</v>
      </c>
      <c r="B7" s="24" t="s">
        <v>36</v>
      </c>
      <c r="C7" s="8" t="s">
        <v>178</v>
      </c>
      <c r="D7" s="8" t="s">
        <v>179</v>
      </c>
      <c r="E7" s="29">
        <v>50</v>
      </c>
      <c r="F7" s="8" t="s">
        <v>179</v>
      </c>
      <c r="G7" s="8" t="s">
        <v>179</v>
      </c>
      <c r="H7" s="30" t="s">
        <v>17</v>
      </c>
      <c r="I7" s="24" t="s">
        <v>182</v>
      </c>
    </row>
    <row r="8" spans="1:9" ht="19.5" customHeight="1" x14ac:dyDescent="0.25">
      <c r="A8" s="22" t="s">
        <v>32</v>
      </c>
      <c r="B8" s="22" t="s">
        <v>33</v>
      </c>
      <c r="C8" s="11" t="s">
        <v>178</v>
      </c>
      <c r="D8" s="11" t="s">
        <v>179</v>
      </c>
      <c r="E8" s="31">
        <v>90</v>
      </c>
      <c r="F8" s="11" t="s">
        <v>179</v>
      </c>
      <c r="G8" s="11" t="s">
        <v>179</v>
      </c>
      <c r="H8" s="30" t="s">
        <v>17</v>
      </c>
      <c r="I8" s="22" t="s">
        <v>183</v>
      </c>
    </row>
    <row r="9" spans="1:9" ht="19.5" customHeight="1" x14ac:dyDescent="0.25">
      <c r="A9" s="24" t="s">
        <v>29</v>
      </c>
      <c r="B9" s="24" t="s">
        <v>30</v>
      </c>
      <c r="C9" s="8" t="s">
        <v>184</v>
      </c>
      <c r="D9" s="8" t="s">
        <v>179</v>
      </c>
      <c r="E9" s="8" t="s">
        <v>179</v>
      </c>
      <c r="F9" s="29">
        <v>120</v>
      </c>
      <c r="G9" s="8" t="s">
        <v>179</v>
      </c>
      <c r="H9" s="30" t="s">
        <v>17</v>
      </c>
      <c r="I9" s="24" t="s">
        <v>185</v>
      </c>
    </row>
    <row r="10" spans="1:9" ht="19.5" customHeight="1" x14ac:dyDescent="0.25">
      <c r="A10" s="22" t="s">
        <v>24</v>
      </c>
      <c r="B10" s="22" t="s">
        <v>22</v>
      </c>
      <c r="C10" s="11" t="s">
        <v>184</v>
      </c>
      <c r="D10" s="11" t="s">
        <v>179</v>
      </c>
      <c r="E10" s="11" t="s">
        <v>179</v>
      </c>
      <c r="F10" s="31">
        <v>200</v>
      </c>
      <c r="G10" s="11" t="s">
        <v>179</v>
      </c>
      <c r="H10" s="32" t="s">
        <v>25</v>
      </c>
      <c r="I10" s="22" t="s">
        <v>186</v>
      </c>
    </row>
    <row r="11" spans="1:9" ht="19.5" customHeight="1" x14ac:dyDescent="0.25">
      <c r="A11" s="24" t="s">
        <v>37</v>
      </c>
      <c r="B11" s="24" t="s">
        <v>38</v>
      </c>
      <c r="C11" s="8" t="s">
        <v>187</v>
      </c>
      <c r="D11" s="8" t="s">
        <v>179</v>
      </c>
      <c r="E11" s="8" t="s">
        <v>179</v>
      </c>
      <c r="F11" s="29">
        <v>300</v>
      </c>
      <c r="G11" s="8" t="s">
        <v>179</v>
      </c>
      <c r="H11" s="33" t="s">
        <v>70</v>
      </c>
      <c r="I11" s="24" t="s">
        <v>188</v>
      </c>
    </row>
    <row r="12" spans="1:9" ht="19.5" customHeight="1" x14ac:dyDescent="0.25">
      <c r="A12" s="22" t="s">
        <v>40</v>
      </c>
      <c r="B12" s="22" t="s">
        <v>41</v>
      </c>
      <c r="C12" s="11" t="s">
        <v>184</v>
      </c>
      <c r="D12" s="11" t="s">
        <v>179</v>
      </c>
      <c r="E12" s="11" t="s">
        <v>179</v>
      </c>
      <c r="F12" s="11" t="s">
        <v>179</v>
      </c>
      <c r="G12" s="31">
        <v>50</v>
      </c>
      <c r="H12" s="34" t="s">
        <v>43</v>
      </c>
      <c r="I12" s="22" t="s">
        <v>45</v>
      </c>
    </row>
    <row r="13" spans="1:9" ht="19.5" customHeight="1" x14ac:dyDescent="0.25">
      <c r="A13" s="24" t="s">
        <v>46</v>
      </c>
      <c r="B13" s="24" t="s">
        <v>46</v>
      </c>
      <c r="C13" s="8" t="s">
        <v>184</v>
      </c>
      <c r="D13" s="8" t="s">
        <v>179</v>
      </c>
      <c r="E13" s="8" t="s">
        <v>179</v>
      </c>
      <c r="F13" s="8" t="s">
        <v>179</v>
      </c>
      <c r="G13" s="29">
        <v>100</v>
      </c>
      <c r="H13" s="34" t="s">
        <v>43</v>
      </c>
      <c r="I13" s="24" t="s">
        <v>189</v>
      </c>
    </row>
    <row r="14" spans="1:9" ht="19.5" customHeight="1" x14ac:dyDescent="0.25">
      <c r="A14" s="22" t="s">
        <v>48</v>
      </c>
      <c r="B14" s="22" t="s">
        <v>49</v>
      </c>
      <c r="C14" s="11" t="s">
        <v>184</v>
      </c>
      <c r="D14" s="11" t="s">
        <v>179</v>
      </c>
      <c r="E14" s="11" t="s">
        <v>179</v>
      </c>
      <c r="F14" s="11" t="s">
        <v>179</v>
      </c>
      <c r="G14" s="31">
        <v>50</v>
      </c>
      <c r="H14" s="34" t="s">
        <v>43</v>
      </c>
      <c r="I14" s="22" t="s">
        <v>45</v>
      </c>
    </row>
    <row r="16" spans="1:9" ht="53.25" customHeight="1" x14ac:dyDescent="0.25">
      <c r="A16" s="35" t="s">
        <v>190</v>
      </c>
      <c r="B16" s="36"/>
      <c r="C16" s="36"/>
      <c r="D16" s="36"/>
      <c r="E16" s="36"/>
      <c r="F16" s="36"/>
      <c r="G16" s="36"/>
      <c r="H16" s="36"/>
      <c r="I16" s="36"/>
    </row>
    <row r="17" spans="1:4" ht="21.75" customHeight="1" x14ac:dyDescent="0.25">
      <c r="A17" s="37" t="s">
        <v>191</v>
      </c>
      <c r="B17" s="36"/>
      <c r="C17" s="36"/>
      <c r="D17" s="38">
        <f>SUMIF(C5:C14,"Live",D5:D14)+SUMIF(C5:C14,"Live",E5:E14)</f>
        <v>355</v>
      </c>
    </row>
    <row r="18" spans="1:4" ht="21.75" customHeight="1" x14ac:dyDescent="0.25">
      <c r="A18" s="37" t="s">
        <v>192</v>
      </c>
      <c r="B18" s="36"/>
      <c r="C18" s="36"/>
      <c r="D18" s="39">
        <f>SUMIF(C5:C14,"Pipeline",F5:F14)+SUMIF(C5:C14,"Pipeline",G5:G14)</f>
        <v>520</v>
      </c>
    </row>
    <row r="19" spans="1:4" ht="21.75" customHeight="1" x14ac:dyDescent="0.25">
      <c r="A19" s="37" t="s">
        <v>193</v>
      </c>
      <c r="B19" s="36"/>
      <c r="C19" s="36"/>
      <c r="D19" s="40">
        <f>SUMIF(C5:C14,"At Risk",F5:F14)</f>
        <v>300</v>
      </c>
    </row>
    <row r="20" spans="1:4" ht="21.75" customHeight="1" x14ac:dyDescent="0.25">
      <c r="A20" s="37" t="s">
        <v>194</v>
      </c>
      <c r="B20" s="36"/>
      <c r="C20" s="36"/>
      <c r="D20" s="41">
        <f>SUM(D5:G14)</f>
        <v>1175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
  <sheetViews>
    <sheetView zoomScaleNormal="100" workbookViewId="0">
      <pane ySplit="4" topLeftCell="A5" activePane="bottomLeft" state="frozen"/>
      <selection pane="bottomLeft" activeCell="F31" sqref="F31"/>
    </sheetView>
  </sheetViews>
  <sheetFormatPr defaultColWidth="8.7109375" defaultRowHeight="15" x14ac:dyDescent="0.25"/>
  <cols>
    <col min="1" max="1" width="22" customWidth="1"/>
    <col min="2" max="2" width="20" customWidth="1"/>
    <col min="3" max="4" width="18" customWidth="1"/>
    <col min="5" max="6" width="16" customWidth="1"/>
    <col min="7" max="7" width="20" customWidth="1"/>
    <col min="8" max="8" width="75.42578125" customWidth="1"/>
  </cols>
  <sheetData>
    <row r="1" spans="1:8" ht="25.5" customHeight="1" x14ac:dyDescent="0.25">
      <c r="A1" s="1" t="s">
        <v>195</v>
      </c>
    </row>
    <row r="2" spans="1:8" ht="15" customHeight="1" x14ac:dyDescent="0.25">
      <c r="A2" s="2" t="s">
        <v>196</v>
      </c>
    </row>
    <row r="3" spans="1:8" ht="6" customHeight="1" x14ac:dyDescent="0.25"/>
    <row r="4" spans="1:8" ht="30" customHeight="1" x14ac:dyDescent="0.25">
      <c r="A4" s="28" t="s">
        <v>4</v>
      </c>
      <c r="B4" s="28" t="s">
        <v>5</v>
      </c>
      <c r="C4" s="28" t="s">
        <v>197</v>
      </c>
      <c r="D4" s="28" t="s">
        <v>198</v>
      </c>
      <c r="E4" s="28" t="s">
        <v>199</v>
      </c>
      <c r="F4" s="28" t="s">
        <v>200</v>
      </c>
      <c r="G4" s="28" t="s">
        <v>201</v>
      </c>
      <c r="H4" s="28" t="s">
        <v>202</v>
      </c>
    </row>
    <row r="5" spans="1:8" ht="19.5" customHeight="1" x14ac:dyDescent="0.25">
      <c r="A5" s="24" t="s">
        <v>177</v>
      </c>
      <c r="B5" s="24" t="s">
        <v>15</v>
      </c>
      <c r="C5" s="30" t="s">
        <v>203</v>
      </c>
      <c r="D5" s="8" t="s">
        <v>61</v>
      </c>
      <c r="E5" s="8" t="s">
        <v>19</v>
      </c>
      <c r="F5" s="8" t="s">
        <v>204</v>
      </c>
      <c r="G5" s="30" t="s">
        <v>18</v>
      </c>
      <c r="H5" s="24" t="s">
        <v>205</v>
      </c>
    </row>
    <row r="6" spans="1:8" ht="19.5" customHeight="1" x14ac:dyDescent="0.25">
      <c r="A6" s="22" t="s">
        <v>21</v>
      </c>
      <c r="B6" s="22" t="s">
        <v>22</v>
      </c>
      <c r="C6" s="30" t="s">
        <v>203</v>
      </c>
      <c r="D6" s="11" t="s">
        <v>61</v>
      </c>
      <c r="E6" s="11" t="s">
        <v>19</v>
      </c>
      <c r="F6" s="11" t="s">
        <v>204</v>
      </c>
      <c r="G6" s="30" t="s">
        <v>18</v>
      </c>
      <c r="H6" s="22" t="s">
        <v>206</v>
      </c>
    </row>
    <row r="7" spans="1:8" ht="19.5" customHeight="1" x14ac:dyDescent="0.25">
      <c r="A7" s="24" t="s">
        <v>35</v>
      </c>
      <c r="B7" s="24" t="s">
        <v>36</v>
      </c>
      <c r="C7" s="30" t="s">
        <v>203</v>
      </c>
      <c r="D7" s="8" t="s">
        <v>61</v>
      </c>
      <c r="E7" s="8" t="s">
        <v>34</v>
      </c>
      <c r="F7" s="8" t="s">
        <v>204</v>
      </c>
      <c r="G7" s="30" t="s">
        <v>18</v>
      </c>
      <c r="H7" s="24" t="s">
        <v>207</v>
      </c>
    </row>
    <row r="8" spans="1:8" ht="19.5" customHeight="1" x14ac:dyDescent="0.25">
      <c r="A8" s="22" t="s">
        <v>32</v>
      </c>
      <c r="B8" s="22" t="s">
        <v>33</v>
      </c>
      <c r="C8" s="30" t="s">
        <v>203</v>
      </c>
      <c r="D8" s="11" t="s">
        <v>61</v>
      </c>
      <c r="E8" s="11" t="s">
        <v>34</v>
      </c>
      <c r="F8" s="11" t="s">
        <v>204</v>
      </c>
      <c r="G8" s="30" t="s">
        <v>18</v>
      </c>
      <c r="H8" s="22" t="s">
        <v>208</v>
      </c>
    </row>
    <row r="9" spans="1:8" ht="24" customHeight="1" x14ac:dyDescent="0.25">
      <c r="A9" s="24" t="s">
        <v>29</v>
      </c>
      <c r="B9" s="24" t="s">
        <v>30</v>
      </c>
      <c r="C9" s="30" t="s">
        <v>203</v>
      </c>
      <c r="D9" s="8" t="s">
        <v>61</v>
      </c>
      <c r="E9" s="8" t="s">
        <v>62</v>
      </c>
      <c r="F9" s="8" t="s">
        <v>210</v>
      </c>
      <c r="G9" s="33" t="s">
        <v>69</v>
      </c>
      <c r="H9" s="24" t="s">
        <v>211</v>
      </c>
    </row>
    <row r="10" spans="1:8" ht="19.5" customHeight="1" x14ac:dyDescent="0.25">
      <c r="A10" s="22" t="s">
        <v>24</v>
      </c>
      <c r="B10" s="22" t="s">
        <v>22</v>
      </c>
      <c r="C10" s="32" t="s">
        <v>209</v>
      </c>
      <c r="D10" s="11" t="s">
        <v>61</v>
      </c>
      <c r="E10" s="11" t="s">
        <v>62</v>
      </c>
      <c r="F10" s="11" t="s">
        <v>210</v>
      </c>
      <c r="G10" s="33" t="s">
        <v>69</v>
      </c>
      <c r="H10" s="22" t="s">
        <v>212</v>
      </c>
    </row>
    <row r="11" spans="1:8" ht="29.25" customHeight="1" x14ac:dyDescent="0.25">
      <c r="A11" s="24" t="s">
        <v>37</v>
      </c>
      <c r="B11" s="24" t="s">
        <v>38</v>
      </c>
      <c r="C11" s="33" t="s">
        <v>213</v>
      </c>
      <c r="D11" s="8" t="s">
        <v>59</v>
      </c>
      <c r="E11" s="8" t="s">
        <v>214</v>
      </c>
      <c r="F11" s="8" t="s">
        <v>204</v>
      </c>
      <c r="G11" s="42" t="s">
        <v>215</v>
      </c>
      <c r="H11" s="24" t="s">
        <v>216</v>
      </c>
    </row>
    <row r="12" spans="1:8" ht="19.5" customHeight="1" x14ac:dyDescent="0.25">
      <c r="A12" s="22" t="s">
        <v>40</v>
      </c>
      <c r="B12" s="22" t="s">
        <v>41</v>
      </c>
      <c r="C12" s="34" t="s">
        <v>217</v>
      </c>
      <c r="D12" s="11" t="s">
        <v>59</v>
      </c>
      <c r="E12" s="11" t="s">
        <v>27</v>
      </c>
      <c r="F12" s="11" t="s">
        <v>218</v>
      </c>
      <c r="G12" s="32" t="s">
        <v>26</v>
      </c>
      <c r="H12" s="22" t="s">
        <v>219</v>
      </c>
    </row>
    <row r="13" spans="1:8" ht="19.5" customHeight="1" x14ac:dyDescent="0.25">
      <c r="A13" s="24" t="s">
        <v>46</v>
      </c>
      <c r="B13" s="24" t="s">
        <v>46</v>
      </c>
      <c r="C13" s="34" t="s">
        <v>217</v>
      </c>
      <c r="D13" s="8" t="s">
        <v>59</v>
      </c>
      <c r="E13" s="8" t="s">
        <v>220</v>
      </c>
      <c r="F13" s="8" t="s">
        <v>218</v>
      </c>
      <c r="G13" s="32" t="s">
        <v>26</v>
      </c>
      <c r="H13" s="24" t="s">
        <v>221</v>
      </c>
    </row>
    <row r="14" spans="1:8" ht="19.5" customHeight="1" x14ac:dyDescent="0.25">
      <c r="A14" s="22" t="s">
        <v>48</v>
      </c>
      <c r="B14" s="22" t="s">
        <v>49</v>
      </c>
      <c r="C14" s="34" t="s">
        <v>217</v>
      </c>
      <c r="D14" s="11" t="s">
        <v>59</v>
      </c>
      <c r="E14" s="11" t="s">
        <v>44</v>
      </c>
      <c r="F14" s="11" t="s">
        <v>222</v>
      </c>
      <c r="G14" s="30" t="s">
        <v>18</v>
      </c>
      <c r="H14" s="22" t="s">
        <v>223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Executive Summary</vt:lpstr>
      <vt:lpstr>Integration Maturity</vt:lpstr>
      <vt:lpstr>Roadmap Timeline</vt:lpstr>
      <vt:lpstr>Capability Reference</vt:lpstr>
      <vt:lpstr>Backlog</vt:lpstr>
      <vt:lpstr>ARR Impact Tracker</vt:lpstr>
      <vt:lpstr>Partnership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Andy Sena</cp:lastModifiedBy>
  <cp:revision>0</cp:revision>
  <dcterms:created xsi:type="dcterms:W3CDTF">2026-02-18T21:32:38Z</dcterms:created>
  <dcterms:modified xsi:type="dcterms:W3CDTF">2026-02-25T01:50:22Z</dcterms:modified>
  <dc:language>en-US</dc:language>
</cp:coreProperties>
</file>