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ndre\Downloads\"/>
    </mc:Choice>
  </mc:AlternateContent>
  <xr:revisionPtr revIDLastSave="0" documentId="13_ncr:1_{88176E00-2D64-46ED-B4BE-875A2DF1500A}" xr6:coauthVersionLast="47" xr6:coauthVersionMax="47" xr10:uidLastSave="{00000000-0000-0000-0000-000000000000}"/>
  <bookViews>
    <workbookView xWindow="-34812" yWindow="6996" windowWidth="28800" windowHeight="15348" tabRatio="500" activeTab="4" xr2:uid="{00000000-000D-0000-FFFF-FFFF00000000}"/>
  </bookViews>
  <sheets>
    <sheet name="Executive Summary" sheetId="1" r:id="rId1"/>
    <sheet name="Integration Maturity" sheetId="2" r:id="rId2"/>
    <sheet name="Roadmap Timeline" sheetId="3" r:id="rId3"/>
    <sheet name="Capability Reference" sheetId="4" r:id="rId4"/>
    <sheet name="Backlog" sheetId="5" r:id="rId5"/>
    <sheet name="ARR Impact Tracker" sheetId="6" state="hidden" r:id="rId6"/>
    <sheet name="Partnership Status" sheetId="7" state="hidden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28" i="7" l="1"/>
  <c r="F27" i="7"/>
  <c r="F26" i="7"/>
  <c r="F25" i="7"/>
  <c r="F24" i="7"/>
  <c r="F23" i="7"/>
  <c r="F22" i="7"/>
  <c r="F21" i="7"/>
  <c r="F20" i="7"/>
  <c r="F19" i="7"/>
  <c r="F18" i="7"/>
  <c r="F17" i="7"/>
  <c r="F16" i="7"/>
  <c r="F15" i="7"/>
  <c r="F14" i="7"/>
  <c r="F13" i="7"/>
  <c r="F12" i="7"/>
  <c r="F11" i="7"/>
  <c r="F10" i="7"/>
  <c r="F9" i="7"/>
  <c r="F8" i="7"/>
  <c r="F7" i="7"/>
  <c r="F6" i="7"/>
  <c r="F5" i="7"/>
  <c r="F4" i="7"/>
  <c r="D36" i="6"/>
  <c r="D35" i="6"/>
  <c r="D34" i="6"/>
  <c r="D33" i="6"/>
  <c r="J25" i="4"/>
  <c r="J24" i="4"/>
  <c r="J23" i="4"/>
  <c r="J22" i="4"/>
  <c r="J21" i="4"/>
  <c r="J20" i="4"/>
  <c r="J19" i="4"/>
  <c r="J18" i="4"/>
  <c r="J17" i="4"/>
  <c r="J16" i="4"/>
  <c r="J15" i="4"/>
  <c r="J14" i="4"/>
  <c r="J13" i="4"/>
  <c r="J12" i="4"/>
  <c r="J11" i="4"/>
  <c r="J10" i="4"/>
  <c r="J9" i="4"/>
  <c r="J8" i="4"/>
  <c r="J7" i="4"/>
  <c r="J6" i="4"/>
  <c r="J5" i="4"/>
  <c r="J4" i="4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G4" i="3"/>
  <c r="I28" i="2"/>
  <c r="H28" i="2"/>
  <c r="H27" i="2"/>
  <c r="I27" i="2" s="1"/>
  <c r="I26" i="2"/>
  <c r="H26" i="2"/>
  <c r="H25" i="2"/>
  <c r="J25" i="2" s="1"/>
  <c r="I24" i="2"/>
  <c r="H24" i="2"/>
  <c r="J24" i="2" s="1"/>
  <c r="H23" i="2"/>
  <c r="I23" i="2" s="1"/>
  <c r="J22" i="2"/>
  <c r="I22" i="2"/>
  <c r="H22" i="2"/>
  <c r="J21" i="2"/>
  <c r="H21" i="2"/>
  <c r="I21" i="2" s="1"/>
  <c r="H20" i="2"/>
  <c r="I20" i="2" s="1"/>
  <c r="H19" i="2"/>
  <c r="I19" i="2" s="1"/>
  <c r="J18" i="2"/>
  <c r="I18" i="2"/>
  <c r="H18" i="2"/>
  <c r="J17" i="2"/>
  <c r="H17" i="2"/>
  <c r="I17" i="2" s="1"/>
  <c r="H16" i="2"/>
  <c r="J16" i="2" s="1"/>
  <c r="H15" i="2"/>
  <c r="J15" i="2" s="1"/>
  <c r="H14" i="2"/>
  <c r="J14" i="2" s="1"/>
  <c r="H13" i="2"/>
  <c r="J13" i="2" s="1"/>
  <c r="H12" i="2"/>
  <c r="J12" i="2" s="1"/>
  <c r="I11" i="2"/>
  <c r="H11" i="2"/>
  <c r="J11" i="2" s="1"/>
  <c r="J10" i="2"/>
  <c r="H10" i="2"/>
  <c r="I10" i="2" s="1"/>
  <c r="H9" i="2"/>
  <c r="J9" i="2" s="1"/>
  <c r="H8" i="2"/>
  <c r="I8" i="2" s="1"/>
  <c r="H7" i="2"/>
  <c r="J7" i="2" s="1"/>
  <c r="J6" i="2"/>
  <c r="H6" i="2"/>
  <c r="I6" i="2" s="1"/>
  <c r="J5" i="2"/>
  <c r="I5" i="2"/>
  <c r="H5" i="2"/>
  <c r="H4" i="2"/>
  <c r="J4" i="2" s="1"/>
  <c r="J23" i="2" l="1"/>
  <c r="I16" i="2"/>
  <c r="I12" i="2"/>
  <c r="I7" i="2"/>
  <c r="J19" i="2"/>
  <c r="I25" i="2"/>
  <c r="J8" i="2"/>
  <c r="I14" i="2"/>
  <c r="J20" i="2"/>
  <c r="I13" i="2"/>
  <c r="I9" i="2"/>
  <c r="I4" i="2"/>
  <c r="I15" i="2"/>
</calcChain>
</file>

<file path=xl/sharedStrings.xml><?xml version="1.0" encoding="utf-8"?>
<sst xmlns="http://schemas.openxmlformats.org/spreadsheetml/2006/main" count="1191" uniqueCount="280">
  <si>
    <t>PMS Integration Roadmap — IN-Gauge</t>
  </si>
  <si>
    <t>Month-End Report  •  As of February 18, 2026</t>
  </si>
  <si>
    <t>—</t>
  </si>
  <si>
    <t>2</t>
  </si>
  <si>
    <t>Pipeline Properties</t>
  </si>
  <si>
    <t>Active Integrations — Status at a Glance</t>
  </si>
  <si>
    <t>PMS Vendor</t>
  </si>
  <si>
    <t>Product</t>
  </si>
  <si>
    <t>Phase</t>
  </si>
  <si>
    <t>Status</t>
  </si>
  <si>
    <t>Risk</t>
  </si>
  <si>
    <t>Live
Props</t>
  </si>
  <si>
    <t>Pipeline
Props</t>
  </si>
  <si>
    <t>Est. Pipeline
ARR ($K)</t>
  </si>
  <si>
    <t>Expected
Close</t>
  </si>
  <si>
    <t>Next Action</t>
  </si>
  <si>
    <t>Technical
Go-Live (days)</t>
  </si>
  <si>
    <t>Opera OnPrem</t>
  </si>
  <si>
    <t>Simphony OnPrem</t>
  </si>
  <si>
    <t>Production Ready</t>
  </si>
  <si>
    <t>Complete</t>
  </si>
  <si>
    <t>Low</t>
  </si>
  <si>
    <t>Signed off &amp; handed over</t>
  </si>
  <si>
    <t>Opera Cloud</t>
  </si>
  <si>
    <t>OHIP API</t>
  </si>
  <si>
    <t>Medium</t>
  </si>
  <si>
    <t>Jun 30, 2026</t>
  </si>
  <si>
    <t>FSPMS</t>
  </si>
  <si>
    <t>FSPMS PMS</t>
  </si>
  <si>
    <t>Lightspeed</t>
  </si>
  <si>
    <t>Lightspeed PMS</t>
  </si>
  <si>
    <t>FOSSE</t>
  </si>
  <si>
    <t>FOSSE PMS</t>
  </si>
  <si>
    <t>OnQ</t>
  </si>
  <si>
    <t>OnQ PMS</t>
  </si>
  <si>
    <t>Hyatt EDW</t>
  </si>
  <si>
    <t>High</t>
  </si>
  <si>
    <t>PGP key rotation due Mar 31 — coordinate with Hyatt IT immediately</t>
  </si>
  <si>
    <t>InforHMS</t>
  </si>
  <si>
    <t>Infor HMS</t>
  </si>
  <si>
    <t>Certified</t>
  </si>
  <si>
    <t>Springer Miller</t>
  </si>
  <si>
    <t>SMS</t>
  </si>
  <si>
    <t>Iberostar EDW</t>
  </si>
  <si>
    <t>Prestige</t>
  </si>
  <si>
    <t>Prestige PMS</t>
  </si>
  <si>
    <t>StayNTouch</t>
  </si>
  <si>
    <t>StayNTouch PMS</t>
  </si>
  <si>
    <t>EMMA TSA</t>
  </si>
  <si>
    <t>TSA Extract</t>
  </si>
  <si>
    <t>Protel</t>
  </si>
  <si>
    <t>Protel PMS</t>
  </si>
  <si>
    <t>HotelKey</t>
  </si>
  <si>
    <t>HotelKey API</t>
  </si>
  <si>
    <t>Cambridge TSA</t>
  </si>
  <si>
    <t>NewHotel</t>
  </si>
  <si>
    <t>NewHotel API</t>
  </si>
  <si>
    <t>TMS</t>
  </si>
  <si>
    <t>TMS API</t>
  </si>
  <si>
    <t>RoomMaster</t>
  </si>
  <si>
    <t>RoomMaster API</t>
  </si>
  <si>
    <t>VHP</t>
  </si>
  <si>
    <t>VHP PMS</t>
  </si>
  <si>
    <t>Shiji SEP</t>
  </si>
  <si>
    <t>Shiji SEP API</t>
  </si>
  <si>
    <t>MEWS</t>
  </si>
  <si>
    <t>MEWS API</t>
  </si>
  <si>
    <t>Cloudbeds</t>
  </si>
  <si>
    <t>Cloudbeds API</t>
  </si>
  <si>
    <t>Discovery</t>
  </si>
  <si>
    <t>On Deck</t>
  </si>
  <si>
    <t>Hostaway</t>
  </si>
  <si>
    <t>Hostaway API</t>
  </si>
  <si>
    <t>Jul 31, 2026</t>
  </si>
  <si>
    <t>Roomkey</t>
  </si>
  <si>
    <t>Roomkey API</t>
  </si>
  <si>
    <t>Decisions &amp; Actions Needed from Leadership</t>
  </si>
  <si>
    <t>#</t>
  </si>
  <si>
    <t>Vendor</t>
  </si>
  <si>
    <t>Decision / Action Required</t>
  </si>
  <si>
    <t>Why It Matters</t>
  </si>
  <si>
    <t>Impact if Delayed</t>
  </si>
  <si>
    <t>Owner Needed</t>
  </si>
  <si>
    <t>Deadline</t>
  </si>
  <si>
    <t>Andy Sena</t>
  </si>
  <si>
    <t>TBD</t>
  </si>
  <si>
    <t>Key Dependencies &amp; Risks</t>
  </si>
  <si>
    <t>Dependency</t>
  </si>
  <si>
    <t>Impact</t>
  </si>
  <si>
    <t>Expected Close</t>
  </si>
  <si>
    <t>Decision Needed</t>
  </si>
  <si>
    <t>Not Started</t>
  </si>
  <si>
    <t>Customer Demand Signal — Backlog Highlights</t>
  </si>
  <si>
    <t>Requesting Brand(s)</t>
  </si>
  <si>
    <t>Est. ARR ($K)</t>
  </si>
  <si>
    <t>Priority Rationale</t>
  </si>
  <si>
    <t>Maestro PMS</t>
  </si>
  <si>
    <t>Maestro</t>
  </si>
  <si>
    <t>Independent / Casino</t>
  </si>
  <si>
    <t>Amadeus PMS</t>
  </si>
  <si>
    <t>Amadeus Property</t>
  </si>
  <si>
    <t>0</t>
  </si>
  <si>
    <t>Clock PMS</t>
  </si>
  <si>
    <t>Clock PMS+</t>
  </si>
  <si>
    <t>Apaleo</t>
  </si>
  <si>
    <t>Apaleo PMS</t>
  </si>
  <si>
    <t>Source: IN-Gauge Hospitality PMS Integration Methods  •  22 active integrations (PMS, EDW, API)  •  3 planned 2026  •  Live since 2017</t>
  </si>
  <si>
    <t>Integration Maturity Scorecard</t>
  </si>
  <si>
    <t>Each dimension scored 0–3  •  Target = 13+ for Ready  •  Reflects current production capability</t>
  </si>
  <si>
    <t>Transaction
Depth</t>
  </si>
  <si>
    <t>Data
Latency</t>
  </si>
  <si>
    <t>Hotel
Support</t>
  </si>
  <si>
    <t>Scalability</t>
  </si>
  <si>
    <t>Vendor
Support</t>
  </si>
  <si>
    <t>Total
(/15)</t>
  </si>
  <si>
    <t>Maturity %</t>
  </si>
  <si>
    <t>Planned — 2026</t>
  </si>
  <si>
    <t>Active Roadmap Timeline</t>
  </si>
  <si>
    <t>Full delivery history 2017–2026  •  Planned integrations with scheduled dates</t>
  </si>
  <si>
    <t>Hotel Brand(s)</t>
  </si>
  <si>
    <t>Start</t>
  </si>
  <si>
    <t>End</t>
  </si>
  <si>
    <t>Duration
(Days)</t>
  </si>
  <si>
    <t>Notes</t>
  </si>
  <si>
    <t>Multiple Brands</t>
  </si>
  <si>
    <t>Marriott / Hilton / Hyatt</t>
  </si>
  <si>
    <t>Independent</t>
  </si>
  <si>
    <t>Marriott</t>
  </si>
  <si>
    <t>Hilton</t>
  </si>
  <si>
    <t>Hyatt</t>
  </si>
  <si>
    <t>Independent / Luxury</t>
  </si>
  <si>
    <t>Iberostar</t>
  </si>
  <si>
    <t>Prestige Portfolio</t>
  </si>
  <si>
    <t>Independent / Lifestyle</t>
  </si>
  <si>
    <t>TSA Portfolio</t>
  </si>
  <si>
    <t>Cambridge Portfolio</t>
  </si>
  <si>
    <t>Shiji Portfolio</t>
  </si>
  <si>
    <t>Boutique / Lifestyle</t>
  </si>
  <si>
    <t>Multiple / TBD</t>
  </si>
  <si>
    <t>Independent / Hybrid</t>
  </si>
  <si>
    <t>IHG</t>
  </si>
  <si>
    <t>Technical Capability Reference</t>
  </si>
  <si>
    <t>Detailed per-vendor capability assessment  •  22 active + 3 planned</t>
  </si>
  <si>
    <t>Auth Method</t>
  </si>
  <si>
    <t>Data Direction</t>
  </si>
  <si>
    <t>Real-Time</t>
  </si>
  <si>
    <t>Historical
Backfill</t>
  </si>
  <si>
    <t>Upsells</t>
  </si>
  <si>
    <t>Packages</t>
  </si>
  <si>
    <t>Segments</t>
  </si>
  <si>
    <t>Capability
Score (/5)</t>
  </si>
  <si>
    <t>S3 SSE + Validation</t>
  </si>
  <si>
    <t>Unidirectional</t>
  </si>
  <si>
    <t>No</t>
  </si>
  <si>
    <t>Yes</t>
  </si>
  <si>
    <t>Broker Token + S3 SSE</t>
  </si>
  <si>
    <t>Bidirectional</t>
  </si>
  <si>
    <t>Partial</t>
  </si>
  <si>
    <t>S3 SSE</t>
  </si>
  <si>
    <t>PGP + S3 SSE</t>
  </si>
  <si>
    <t>Token + SSE</t>
  </si>
  <si>
    <t>OAuth2 (TBD)</t>
  </si>
  <si>
    <t>Planned</t>
  </si>
  <si>
    <t>Backlog — Pending Discovery</t>
  </si>
  <si>
    <t>Vendors not yet scheduled  •  Will enter roadmap planning once active integrations reach steady state</t>
  </si>
  <si>
    <t>Integration Model</t>
  </si>
  <si>
    <t>API Maturity</t>
  </si>
  <si>
    <t>Brand Interest</t>
  </si>
  <si>
    <t>Pipeline
Properties</t>
  </si>
  <si>
    <t>API + R&amp;A (TBD)</t>
  </si>
  <si>
    <t>API</t>
  </si>
  <si>
    <t>Requires Discovery</t>
  </si>
  <si>
    <t>WebRezPro</t>
  </si>
  <si>
    <t>RoomRaccoon</t>
  </si>
  <si>
    <t>Boutique / Independent</t>
  </si>
  <si>
    <t>Marriott / Hilton</t>
  </si>
  <si>
    <t>Cenium</t>
  </si>
  <si>
    <t>Cenium PMS</t>
  </si>
  <si>
    <t>Hapi</t>
  </si>
  <si>
    <t>Hapi Hotel Hub</t>
  </si>
  <si>
    <t>API (middleware)</t>
  </si>
  <si>
    <t>Little Hotelier</t>
  </si>
  <si>
    <t>ResNexus</t>
  </si>
  <si>
    <t>10 additional PMS vendors tracked in this backlog  •  Prioritization subject to roadmap capacity and partnership agreements</t>
  </si>
  <si>
    <t>ARR Impact Tracker</t>
  </si>
  <si>
    <t>Pipeline revenue by integration stage  •  Full platform history 2017–2026</t>
  </si>
  <si>
    <t>Integration</t>
  </si>
  <si>
    <t>ARR Stage</t>
  </si>
  <si>
    <t>Pre-2022
ARR ($K)</t>
  </si>
  <si>
    <t>2022–2023
ARR ($K)</t>
  </si>
  <si>
    <t>2024–2025
ARR ($K)</t>
  </si>
  <si>
    <t>2026
Pipeline ($K)</t>
  </si>
  <si>
    <t>Live</t>
  </si>
  <si>
    <t>-</t>
  </si>
  <si>
    <t>85 props. Flagship PMS since 2017.</t>
  </si>
  <si>
    <t>210 props. Largest ARR. Hilton EDW.</t>
  </si>
  <si>
    <t>18 props. Stable since 2018.</t>
  </si>
  <si>
    <t>12 props. Stable since 2018.</t>
  </si>
  <si>
    <t>31 props. Marriott-aligned. Stable since 2018.</t>
  </si>
  <si>
    <t>8 props. Stable since 2019.</t>
  </si>
  <si>
    <t>38 props. File delivery issue resolved.</t>
  </si>
  <si>
    <t>7 props. Stable since 2019.</t>
  </si>
  <si>
    <t>5 props. Stable since 2019.</t>
  </si>
  <si>
    <t>10 props. Stable since 2019.</t>
  </si>
  <si>
    <t>95 props. PGP key rotation due Mar 31.</t>
  </si>
  <si>
    <t>42 props. OHIP v2 migration required Q3 2026.</t>
  </si>
  <si>
    <t>15 props. Stable since 2021.</t>
  </si>
  <si>
    <t>25 props. Stable since 2022.</t>
  </si>
  <si>
    <t>9 props. Stable since 2022.</t>
  </si>
  <si>
    <t>18 props. Stable since 2022.</t>
  </si>
  <si>
    <t>14 props. Bidirectional. Stable since 2023.</t>
  </si>
  <si>
    <t>6 props. Event-driven. Stable since 2023.</t>
  </si>
  <si>
    <t>22 props. Mapping issue resolved.</t>
  </si>
  <si>
    <t>11 props. Stable since 2024.</t>
  </si>
  <si>
    <t>19 props. 6 pipeline onboarding.</t>
  </si>
  <si>
    <t>16 props. Monitor Shiji 2.0 changes.</t>
  </si>
  <si>
    <t>Pipeline</t>
  </si>
  <si>
    <t>Q2 2026 target. Agreement not yet initiated.</t>
  </si>
  <si>
    <t>Q3 2026 target. IHG relationship required.</t>
  </si>
  <si>
    <t>ARR Summary by Stage</t>
  </si>
  <si>
    <t>Live ARR (Unlocked)</t>
  </si>
  <si>
    <t>Pipeline ARR (Committed)</t>
  </si>
  <si>
    <t>At-Risk ARR (Blocked)</t>
  </si>
  <si>
    <t>Total Addressable (All)</t>
  </si>
  <si>
    <t>Partnership Status</t>
  </si>
  <si>
    <t>Commercial agreement tracking  •  Separate from technical readiness  •  As of February 18, 2026</t>
  </si>
  <si>
    <t>Agreement Stage</t>
  </si>
  <si>
    <t>Owner</t>
  </si>
  <si>
    <t>Target Date</t>
  </si>
  <si>
    <t>Days Until Deadline</t>
  </si>
  <si>
    <t>Risk Level</t>
  </si>
  <si>
    <t>Notes / Next Action</t>
  </si>
  <si>
    <t>Signed &amp; Active</t>
  </si>
  <si>
    <t>Agreement executed Feb 2017. Annual renewal. Signed off &amp; fully operational.</t>
  </si>
  <si>
    <t>Agreement executed Apr 2017. Hilton corporate. Annual EDW schema review Q2 2026.</t>
  </si>
  <si>
    <t>Agreement executed Feb 2018. Standard SFTP renewal. Fully operational.</t>
  </si>
  <si>
    <t>Agreement executed Apr 2018. Fully operational.</t>
  </si>
  <si>
    <t>Agreement executed Jul 2018. Marriott-aligned. Fully operational.</t>
  </si>
  <si>
    <t>Agreement executed Jan 2019. DBF format. Fully operational.</t>
  </si>
  <si>
    <t>Agreement executed Apr 2019. File delivery issue resolved. Fully operational.</t>
  </si>
  <si>
    <t>Agreement executed Aug 2019. Fully operational.</t>
  </si>
  <si>
    <t>Agreement executed Oct 2019. Fully operational.</t>
  </si>
  <si>
    <t>Agreement executed Feb 2021. OHIP v2 migration required Q3 2026 — monitor Oracle comms.</t>
  </si>
  <si>
    <t>Agreement executed May 2021. PGP key rotation due Mar 31 — coordinate with Hyatt IT.</t>
  </si>
  <si>
    <t>Agreement executed Aug 2021. 11-file S3 model. Fully operational.</t>
  </si>
  <si>
    <t>Agreement executed Jan 2022. TSA option codes. Fully operational.</t>
  </si>
  <si>
    <t>Agreement executed Apr 2022. Token-secured API. Fully operational.</t>
  </si>
  <si>
    <t>Agreement executed Jul 2022. Fully operational.</t>
  </si>
  <si>
    <t>Agreement executed Feb 2023. Bidirectional. High-value — prioritize renewal.</t>
  </si>
  <si>
    <t>Agreement executed May 2023. Event-driven. Fully operational.</t>
  </si>
  <si>
    <t>Agreement executed Jan 2024. Mapping issue resolved. Fully operational.</t>
  </si>
  <si>
    <t>Agreement executed Apr 2024. Fully operational.</t>
  </si>
  <si>
    <t>Agreement executed Jul 2024. 6 pipeline props onboarding. Fastest-growing boutique PMS.</t>
  </si>
  <si>
    <t>Agreement executed Feb 2025. Monitor Shiji 2.0 platform expansion.</t>
  </si>
  <si>
    <t>Q2 2026 target. Partnership agreement required before build can commence.</t>
  </si>
  <si>
    <t>Q2 2026 target. API-first — fast build once agreement signed.</t>
  </si>
  <si>
    <t>Q3 2026 target. IHG-backed. IHG commercial engagement required first.</t>
  </si>
  <si>
    <t>No Current Risks / Dependencies</t>
  </si>
  <si>
    <t>Moderate technical feasibility but limited enterprise pull. Priority increases only if casino/independent portfolio expansion aligns with revenue targets. Currently low strategic urgency.</t>
  </si>
  <si>
    <t>Technically mature and scalable integration model. Requires formal discovery to validate revenue concentration and overlap with target EU expansion strategy. High feasibility; demand validation pending.</t>
  </si>
  <si>
    <t>Technically attractive with strong developer-first model. Ideal for automation-heavy integrations. Strategic candidate for EU cloud expansion, contingent on confirmed brand/property pipeline.</t>
  </si>
  <si>
    <t>Feasible but limited strategic lift. Prioritization tied directly to confirmed multi-property demand or competitive displacement opportunity.</t>
  </si>
  <si>
    <t>Emerging EU opportunity. Moderate technical effort. Prioritize if EU mid-market strategy accelerates or partner-led opportunity materializes.</t>
  </si>
  <si>
    <t>High strategic value. Direct enterprise brand alignment. Integration increases defensibility within Tier 1 accounts. Candidate for roadmap acceleration if revenue concentration supports allocation.</t>
  </si>
  <si>
    <t>Low API maturity increases implementation complexity and cost. Prioritize only with contracted Nordic portfolio expansion. Otherwise defer.</t>
  </si>
  <si>
    <t>Middleware reduces integration lift but introduces dependency risk. Validate scalability and data completeness before roadmap inclusion. Moderate opportunity pending validation.</t>
  </si>
  <si>
    <t>Backed by established distribution network. Useful for independent penetration strategy. Requires confirmation of volume potential before prioritization.</t>
  </si>
  <si>
    <t>Lower maturity and unclear strategic lift. Remains backlog unless tied to material revenue opportunity.</t>
  </si>
  <si>
    <t>Approve Hostaway as a Q2/Q3 build candidate contingent on commercial terms and a validated revenue case.</t>
  </si>
  <si>
    <r>
      <t>Approve Cloudbeds as a</t>
    </r>
    <r>
      <rPr>
        <sz val="11"/>
        <color theme="1"/>
        <rFont val="Calibri"/>
        <family val="2"/>
      </rPr>
      <t xml:space="preserve"> Q2/Q3 build candidate</t>
    </r>
    <r>
      <rPr>
        <sz val="11"/>
        <color theme="1"/>
        <rFont val="Calibri"/>
        <family val="2"/>
        <charset val="1"/>
      </rPr>
      <t xml:space="preserve"> contingent on commercial terms and a validated revenue case.</t>
    </r>
  </si>
  <si>
    <t>We will not allocate engineering time on RoomKey until IHG demand is contractually real and access terms are clear.</t>
  </si>
  <si>
    <t>Secure an enterprise-level sponsor from an active pipeline client to advance the Roomkey commerical partnership</t>
  </si>
  <si>
    <t>Vendor progression is contingent ojn demonstrated brand demand; without a comitted enterprise client, partnership prioritizaiton will not move forward</t>
  </si>
  <si>
    <t>Largest portfolio opportunity slips impacted forecasted revenue timing and marrket expansion</t>
  </si>
  <si>
    <t>Business</t>
  </si>
  <si>
    <t>Completed</t>
  </si>
  <si>
    <t>Assign v2 migration Owner; define cutover plan &amp; timeline this quarter.</t>
  </si>
  <si>
    <t>No Further Action - In Production &amp; Ready for Onboarding</t>
  </si>
  <si>
    <t xml:space="preserve">Feb 24 - Pulled from Backlog - No current Action </t>
  </si>
  <si>
    <t>Feb 24 - Pulled from Backlog - please see Item 1 Dependency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</si>
</sst>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%"/>
    <numFmt numFmtId="165" formatCode="yyyy\-mm\-dd"/>
    <numFmt numFmtId="166" formatCode="0.0"/>
    <numFmt numFmtId="167" formatCode="\$#,##0\K"/>
    <numFmt numFmtId="168" formatCode="mmm\ d&quot;, &quot;yyyy"/>
  </numFmts>
  <fonts count="22" x14ac:knownFonts="1">
    <font>
      <sz val="11"/>
      <color theme="1"/>
      <name val="Calibri"/>
      <family val="2"/>
      <charset val="1"/>
    </font>
    <font>
      <b/>
      <sz val="14"/>
      <color rgb="FF1B2A4A"/>
      <name val="Arial"/>
      <family val="2"/>
    </font>
    <font>
      <sz val="10"/>
      <color rgb="FF808080"/>
      <name val="Arial"/>
      <family val="2"/>
    </font>
    <font>
      <sz val="9"/>
      <color rgb="FF808080"/>
      <name val="Arial"/>
      <family val="2"/>
    </font>
    <font>
      <b/>
      <sz val="11"/>
      <color rgb="FF1B2A4A"/>
      <name val="Arial"/>
      <family val="2"/>
    </font>
    <font>
      <b/>
      <sz val="10"/>
      <color rgb="FF333333"/>
      <name val="Arial"/>
      <family val="2"/>
    </font>
    <font>
      <sz val="10"/>
      <color rgb="FF333333"/>
      <name val="Arial"/>
      <family val="2"/>
    </font>
    <font>
      <b/>
      <sz val="10"/>
      <color rgb="FFFFFFFF"/>
      <name val="Arial"/>
      <family val="2"/>
    </font>
    <font>
      <b/>
      <sz val="10"/>
      <color rgb="FF375623"/>
      <name val="Arial"/>
      <family val="2"/>
    </font>
    <font>
      <b/>
      <sz val="10"/>
      <color rgb="FF7D6608"/>
      <name val="Arial"/>
      <family val="2"/>
    </font>
    <font>
      <b/>
      <sz val="10"/>
      <color rgb="FFC00000"/>
      <name val="Arial"/>
      <family val="2"/>
    </font>
    <font>
      <b/>
      <sz val="10"/>
      <color rgb="FF17375E"/>
      <name val="Arial"/>
      <family val="2"/>
    </font>
    <font>
      <b/>
      <sz val="10"/>
      <color rgb="FF595959"/>
      <name val="Arial"/>
      <family val="2"/>
    </font>
    <font>
      <b/>
      <sz val="10"/>
      <color rgb="FF808080"/>
      <name val="Arial"/>
      <family val="2"/>
    </font>
    <font>
      <sz val="10"/>
      <color rgb="FF595959"/>
      <name val="Arial"/>
      <family val="2"/>
    </font>
    <font>
      <b/>
      <sz val="11"/>
      <color rgb="FF375623"/>
      <name val="Arial"/>
      <family val="2"/>
    </font>
    <font>
      <b/>
      <sz val="11"/>
      <color rgb="FF17375E"/>
      <name val="Arial"/>
      <family val="2"/>
    </font>
    <font>
      <b/>
      <sz val="11"/>
      <color rgb="FFC00000"/>
      <name val="Arial"/>
      <family val="2"/>
    </font>
    <font>
      <b/>
      <sz val="11"/>
      <color rgb="FFFFFFFF"/>
      <name val="Arial"/>
      <family val="2"/>
    </font>
    <font>
      <sz val="11"/>
      <color theme="1"/>
      <name val="Calibri"/>
      <family val="2"/>
    </font>
    <font>
      <sz val="10"/>
      <color rgb="FF333333"/>
      <name val="Arial"/>
      <charset val="1"/>
    </font>
    <font>
      <sz val="10"/>
      <color rgb="FFFF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1B2A4A"/>
        <bgColor rgb="FF17375E"/>
      </patternFill>
    </fill>
    <fill>
      <patternFill patternType="solid">
        <fgColor rgb="FFFFFFFF"/>
        <bgColor rgb="FFF5F7FA"/>
      </patternFill>
    </fill>
    <fill>
      <patternFill patternType="solid">
        <fgColor rgb="FFE2EFDA"/>
        <bgColor rgb="FFE9EFF7"/>
      </patternFill>
    </fill>
    <fill>
      <patternFill patternType="solid">
        <fgColor rgb="FFE9EFF7"/>
        <bgColor rgb="FFF2F2F2"/>
      </patternFill>
    </fill>
    <fill>
      <patternFill patternType="solid">
        <fgColor rgb="FFFFF2CC"/>
        <bgColor rgb="FFF2F2F2"/>
      </patternFill>
    </fill>
    <fill>
      <patternFill patternType="solid">
        <fgColor rgb="FFFFD7CC"/>
        <bgColor rgb="FFFFF2CC"/>
      </patternFill>
    </fill>
    <fill>
      <patternFill patternType="solid">
        <fgColor rgb="FFDCE6F1"/>
        <bgColor rgb="FFE9EFF7"/>
      </patternFill>
    </fill>
    <fill>
      <patternFill patternType="solid">
        <fgColor rgb="FFF5F7FA"/>
        <bgColor rgb="FFF2F2F2"/>
      </patternFill>
    </fill>
    <fill>
      <patternFill patternType="solid">
        <fgColor rgb="FFF2F2F2"/>
        <bgColor rgb="FFF5F7FA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4" fillId="0" borderId="0" xfId="0" applyFont="1"/>
    <xf numFmtId="0" fontId="7" fillId="2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left" vertical="center" wrapText="1"/>
    </xf>
    <xf numFmtId="0" fontId="6" fillId="3" borderId="0" xfId="0" applyFont="1" applyFill="1" applyAlignment="1">
      <alignment horizontal="left" vertical="center" wrapText="1"/>
    </xf>
    <xf numFmtId="0" fontId="6" fillId="3" borderId="0" xfId="0" applyFont="1" applyFill="1" applyAlignment="1">
      <alignment horizontal="center" vertical="center" wrapText="1"/>
    </xf>
    <xf numFmtId="0" fontId="8" fillId="4" borderId="0" xfId="0" applyFont="1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5" fillId="5" borderId="0" xfId="0" applyFont="1" applyFill="1" applyAlignment="1">
      <alignment horizontal="left" vertical="center" wrapText="1"/>
    </xf>
    <xf numFmtId="0" fontId="6" fillId="5" borderId="0" xfId="0" applyFont="1" applyFill="1" applyAlignment="1">
      <alignment horizontal="left" vertical="center" wrapText="1"/>
    </xf>
    <xf numFmtId="0" fontId="6" fillId="5" borderId="0" xfId="0" applyFont="1" applyFill="1" applyAlignment="1">
      <alignment horizontal="center" vertical="center" wrapText="1"/>
    </xf>
    <xf numFmtId="0" fontId="9" fillId="6" borderId="0" xfId="0" applyFont="1" applyFill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0" fontId="5" fillId="5" borderId="0" xfId="0" applyFont="1" applyFill="1" applyAlignment="1">
      <alignment horizontal="center" vertical="center" wrapText="1"/>
    </xf>
    <xf numFmtId="0" fontId="10" fillId="7" borderId="0" xfId="0" applyFont="1" applyFill="1" applyAlignment="1">
      <alignment horizontal="center" vertical="center" wrapText="1"/>
    </xf>
    <xf numFmtId="0" fontId="11" fillId="8" borderId="0" xfId="0" applyFont="1" applyFill="1" applyAlignment="1">
      <alignment horizontal="center" vertical="center" wrapText="1"/>
    </xf>
    <xf numFmtId="0" fontId="4" fillId="9" borderId="0" xfId="0" applyFont="1" applyFill="1" applyAlignment="1">
      <alignment horizontal="left" vertical="center" wrapText="1"/>
    </xf>
    <xf numFmtId="0" fontId="0" fillId="9" borderId="0" xfId="0" applyFill="1"/>
    <xf numFmtId="0" fontId="3" fillId="0" borderId="0" xfId="0" applyFont="1"/>
    <xf numFmtId="0" fontId="12" fillId="10" borderId="0" xfId="0" applyFont="1" applyFill="1" applyAlignment="1">
      <alignment horizontal="center" vertical="center" wrapText="1"/>
    </xf>
    <xf numFmtId="164" fontId="0" fillId="3" borderId="0" xfId="0" applyNumberForma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4" fontId="0" fillId="5" borderId="0" xfId="0" applyNumberFormat="1" applyFill="1" applyAlignment="1">
      <alignment horizontal="center" vertical="center" wrapText="1"/>
    </xf>
    <xf numFmtId="0" fontId="13" fillId="10" borderId="0" xfId="0" applyFont="1" applyFill="1" applyAlignment="1">
      <alignment horizontal="center" vertical="center" wrapText="1"/>
    </xf>
    <xf numFmtId="165" fontId="6" fillId="3" borderId="0" xfId="0" applyNumberFormat="1" applyFont="1" applyFill="1" applyAlignment="1">
      <alignment horizontal="center" vertical="center" wrapText="1"/>
    </xf>
    <xf numFmtId="1" fontId="6" fillId="3" borderId="0" xfId="0" applyNumberFormat="1" applyFont="1" applyFill="1" applyAlignment="1">
      <alignment horizontal="center" vertical="center" wrapText="1"/>
    </xf>
    <xf numFmtId="165" fontId="6" fillId="5" borderId="0" xfId="0" applyNumberFormat="1" applyFont="1" applyFill="1" applyAlignment="1">
      <alignment horizontal="center" vertical="center" wrapText="1"/>
    </xf>
    <xf numFmtId="1" fontId="6" fillId="5" borderId="0" xfId="0" applyNumberFormat="1" applyFont="1" applyFill="1" applyAlignment="1">
      <alignment horizontal="center" vertical="center" wrapText="1"/>
    </xf>
    <xf numFmtId="0" fontId="8" fillId="3" borderId="0" xfId="0" applyFont="1" applyFill="1" applyAlignment="1">
      <alignment horizontal="center" vertical="center" wrapText="1"/>
    </xf>
    <xf numFmtId="0" fontId="14" fillId="3" borderId="0" xfId="0" applyFont="1" applyFill="1" applyAlignment="1">
      <alignment horizontal="center" vertical="center" wrapText="1"/>
    </xf>
    <xf numFmtId="166" fontId="0" fillId="3" borderId="0" xfId="0" applyNumberFormat="1" applyFill="1" applyAlignment="1">
      <alignment horizontal="center" vertical="center" wrapText="1"/>
    </xf>
    <xf numFmtId="0" fontId="8" fillId="5" borderId="0" xfId="0" applyFont="1" applyFill="1" applyAlignment="1">
      <alignment horizontal="center" vertical="center" wrapText="1"/>
    </xf>
    <xf numFmtId="166" fontId="0" fillId="5" borderId="0" xfId="0" applyNumberFormat="1" applyFill="1" applyAlignment="1">
      <alignment horizontal="center" vertical="center" wrapText="1"/>
    </xf>
    <xf numFmtId="0" fontId="14" fillId="5" borderId="0" xfId="0" applyFont="1" applyFill="1" applyAlignment="1">
      <alignment horizontal="center" vertical="center" wrapText="1"/>
    </xf>
    <xf numFmtId="3" fontId="5" fillId="3" borderId="0" xfId="0" applyNumberFormat="1" applyFont="1" applyFill="1" applyAlignment="1">
      <alignment horizontal="center" vertical="center" wrapText="1"/>
    </xf>
    <xf numFmtId="3" fontId="5" fillId="5" borderId="0" xfId="0" applyNumberFormat="1" applyFont="1" applyFill="1" applyAlignment="1">
      <alignment horizontal="center" vertical="center" wrapText="1"/>
    </xf>
    <xf numFmtId="0" fontId="5" fillId="9" borderId="0" xfId="0" applyFont="1" applyFill="1" applyAlignment="1">
      <alignment horizontal="left" vertical="center" wrapText="1"/>
    </xf>
    <xf numFmtId="167" fontId="15" fillId="4" borderId="0" xfId="0" applyNumberFormat="1" applyFont="1" applyFill="1" applyAlignment="1">
      <alignment horizontal="center" vertical="center" wrapText="1"/>
    </xf>
    <xf numFmtId="167" fontId="16" fillId="8" borderId="0" xfId="0" applyNumberFormat="1" applyFont="1" applyFill="1" applyAlignment="1">
      <alignment horizontal="center" vertical="center" wrapText="1"/>
    </xf>
    <xf numFmtId="167" fontId="17" fillId="7" borderId="0" xfId="0" applyNumberFormat="1" applyFont="1" applyFill="1" applyAlignment="1">
      <alignment horizontal="center" vertical="center" wrapText="1"/>
    </xf>
    <xf numFmtId="167" fontId="18" fillId="2" borderId="0" xfId="0" applyNumberFormat="1" applyFont="1" applyFill="1" applyAlignment="1">
      <alignment horizontal="center" vertical="center" wrapText="1"/>
    </xf>
    <xf numFmtId="168" fontId="6" fillId="3" borderId="0" xfId="0" applyNumberFormat="1" applyFont="1" applyFill="1" applyAlignment="1">
      <alignment horizontal="center" vertical="center" wrapText="1"/>
    </xf>
    <xf numFmtId="168" fontId="6" fillId="5" borderId="0" xfId="0" applyNumberFormat="1" applyFont="1" applyFill="1" applyAlignment="1">
      <alignment horizontal="center" vertical="center" wrapText="1"/>
    </xf>
    <xf numFmtId="0" fontId="9" fillId="3" borderId="0" xfId="0" applyFont="1" applyFill="1" applyAlignment="1">
      <alignment horizontal="center" vertical="center" wrapText="1"/>
    </xf>
    <xf numFmtId="0" fontId="9" fillId="5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15" fontId="6" fillId="5" borderId="0" xfId="0" applyNumberFormat="1" applyFont="1" applyFill="1" applyAlignment="1">
      <alignment horizontal="left" vertical="center" wrapText="1"/>
    </xf>
    <xf numFmtId="0" fontId="20" fillId="3" borderId="1" xfId="0" applyFont="1" applyFill="1" applyBorder="1" applyAlignment="1">
      <alignment horizontal="center" vertical="center" wrapText="1"/>
    </xf>
    <xf numFmtId="0" fontId="20" fillId="3" borderId="1" xfId="0" applyFont="1" applyFill="1" applyBorder="1" applyAlignment="1">
      <alignment horizontal="left" vertical="center" wrapText="1"/>
    </xf>
    <xf numFmtId="15" fontId="6" fillId="3" borderId="0" xfId="0" applyNumberFormat="1" applyFont="1" applyFill="1" applyAlignment="1">
      <alignment horizontal="center" vertical="center" wrapText="1"/>
    </xf>
    <xf numFmtId="0" fontId="21" fillId="3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D6608"/>
      <rgbColor rgb="FF800080"/>
      <rgbColor rgb="FF008080"/>
      <rgbColor rgb="FFC0C0C0"/>
      <rgbColor rgb="FF808080"/>
      <rgbColor rgb="FF9999FF"/>
      <rgbColor rgb="FF993366"/>
      <rgbColor rgb="FFFFF2CC"/>
      <rgbColor rgb="FFE9EFF7"/>
      <rgbColor rgb="FF660066"/>
      <rgbColor rgb="FFFF8080"/>
      <rgbColor rgb="FF0066CC"/>
      <rgbColor rgb="FFF5F7F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1"/>
      <rgbColor rgb="FFE2EFDA"/>
      <rgbColor rgb="FFF2F2F2"/>
      <rgbColor rgb="FF99CCFF"/>
      <rgbColor rgb="FFFF99CC"/>
      <rgbColor rgb="FFCC99FF"/>
      <rgbColor rgb="FFFFD7CC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7375E"/>
      <rgbColor rgb="FF339966"/>
      <rgbColor rgb="FF375623"/>
      <rgbColor rgb="FF1B2A4A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9"/>
  <sheetViews>
    <sheetView topLeftCell="A27" zoomScaleNormal="100" workbookViewId="0">
      <selection activeCell="A50" sqref="A50"/>
    </sheetView>
  </sheetViews>
  <sheetFormatPr defaultColWidth="8.7109375" defaultRowHeight="15" x14ac:dyDescent="0.25"/>
  <cols>
    <col min="1" max="1" width="108.140625" bestFit="1" customWidth="1"/>
    <col min="2" max="2" width="31.85546875" bestFit="1" customWidth="1"/>
    <col min="3" max="3" width="26.140625" bestFit="1" customWidth="1"/>
    <col min="4" max="5" width="24.28515625" bestFit="1" customWidth="1"/>
    <col min="6" max="6" width="67.28515625" bestFit="1" customWidth="1"/>
    <col min="7" max="7" width="12.140625" bestFit="1" customWidth="1"/>
    <col min="8" max="9" width="12.28515625" bestFit="1" customWidth="1"/>
    <col min="10" max="10" width="59.85546875" bestFit="1" customWidth="1"/>
    <col min="11" max="11" width="14.28515625" bestFit="1" customWidth="1"/>
    <col min="12" max="12" width="8" customWidth="1"/>
  </cols>
  <sheetData>
    <row r="1" spans="1:11" ht="25.5" customHeight="1" x14ac:dyDescent="0.25">
      <c r="A1" s="1" t="s">
        <v>0</v>
      </c>
    </row>
    <row r="2" spans="1:11" ht="15" customHeight="1" x14ac:dyDescent="0.25">
      <c r="A2" s="2" t="s">
        <v>1</v>
      </c>
    </row>
    <row r="3" spans="1:11" ht="7.5" customHeight="1" x14ac:dyDescent="0.25"/>
    <row r="4" spans="1:11" ht="19.5" customHeight="1" x14ac:dyDescent="0.25">
      <c r="A4" s="3" t="s">
        <v>5</v>
      </c>
    </row>
    <row r="5" spans="1:11" ht="36" customHeight="1" x14ac:dyDescent="0.25">
      <c r="A5" s="4" t="s">
        <v>6</v>
      </c>
      <c r="B5" s="4" t="s">
        <v>7</v>
      </c>
      <c r="C5" s="4" t="s">
        <v>8</v>
      </c>
      <c r="D5" s="4" t="s">
        <v>9</v>
      </c>
      <c r="E5" s="4" t="s">
        <v>10</v>
      </c>
      <c r="F5" s="4" t="s">
        <v>11</v>
      </c>
      <c r="G5" s="4" t="s">
        <v>12</v>
      </c>
      <c r="H5" s="4" t="s">
        <v>13</v>
      </c>
      <c r="I5" s="4" t="s">
        <v>14</v>
      </c>
      <c r="J5" s="4" t="s">
        <v>15</v>
      </c>
      <c r="K5" s="4" t="s">
        <v>16</v>
      </c>
    </row>
    <row r="6" spans="1:11" ht="19.5" customHeight="1" x14ac:dyDescent="0.25">
      <c r="A6" s="5" t="s">
        <v>17</v>
      </c>
      <c r="B6" s="6" t="s">
        <v>17</v>
      </c>
      <c r="C6" s="7" t="s">
        <v>19</v>
      </c>
      <c r="D6" s="8" t="s">
        <v>20</v>
      </c>
      <c r="E6" s="8" t="s">
        <v>21</v>
      </c>
      <c r="F6" s="9" t="s">
        <v>2</v>
      </c>
      <c r="G6" s="9" t="s">
        <v>2</v>
      </c>
      <c r="H6" s="10"/>
      <c r="I6" s="7" t="s">
        <v>275</v>
      </c>
      <c r="J6" s="50" t="s">
        <v>277</v>
      </c>
      <c r="K6" s="7">
        <v>21</v>
      </c>
    </row>
    <row r="7" spans="1:11" ht="19.5" customHeight="1" x14ac:dyDescent="0.25">
      <c r="A7" s="11" t="s">
        <v>23</v>
      </c>
      <c r="B7" s="12" t="s">
        <v>24</v>
      </c>
      <c r="C7" s="13" t="s">
        <v>19</v>
      </c>
      <c r="D7" s="8" t="s">
        <v>20</v>
      </c>
      <c r="E7" s="14" t="s">
        <v>25</v>
      </c>
      <c r="F7" s="15" t="s">
        <v>2</v>
      </c>
      <c r="G7" s="15" t="s">
        <v>2</v>
      </c>
      <c r="H7" s="16"/>
      <c r="I7" s="13" t="s">
        <v>26</v>
      </c>
      <c r="J7" s="12" t="s">
        <v>276</v>
      </c>
      <c r="K7" s="13">
        <v>30</v>
      </c>
    </row>
    <row r="8" spans="1:11" ht="19.5" customHeight="1" x14ac:dyDescent="0.25">
      <c r="A8" s="5" t="s">
        <v>27</v>
      </c>
      <c r="B8" s="6" t="s">
        <v>28</v>
      </c>
      <c r="C8" s="7" t="s">
        <v>19</v>
      </c>
      <c r="D8" s="8" t="s">
        <v>20</v>
      </c>
      <c r="E8" s="8" t="s">
        <v>21</v>
      </c>
      <c r="F8" s="9" t="s">
        <v>2</v>
      </c>
      <c r="G8" s="9" t="s">
        <v>2</v>
      </c>
      <c r="H8" s="10"/>
      <c r="I8" s="7" t="s">
        <v>275</v>
      </c>
      <c r="J8" s="6" t="s">
        <v>277</v>
      </c>
      <c r="K8" s="7">
        <v>18</v>
      </c>
    </row>
    <row r="9" spans="1:11" ht="19.5" customHeight="1" x14ac:dyDescent="0.25">
      <c r="A9" s="11" t="s">
        <v>29</v>
      </c>
      <c r="B9" s="12" t="s">
        <v>30</v>
      </c>
      <c r="C9" s="13" t="s">
        <v>19</v>
      </c>
      <c r="D9" s="8" t="s">
        <v>20</v>
      </c>
      <c r="E9" s="8" t="s">
        <v>21</v>
      </c>
      <c r="F9" s="15" t="s">
        <v>2</v>
      </c>
      <c r="G9" s="15" t="s">
        <v>2</v>
      </c>
      <c r="H9" s="16"/>
      <c r="I9" s="13" t="s">
        <v>275</v>
      </c>
      <c r="J9" s="12" t="s">
        <v>277</v>
      </c>
      <c r="K9" s="13">
        <v>14</v>
      </c>
    </row>
    <row r="10" spans="1:11" ht="19.5" customHeight="1" x14ac:dyDescent="0.25">
      <c r="A10" s="5" t="s">
        <v>31</v>
      </c>
      <c r="B10" s="6" t="s">
        <v>32</v>
      </c>
      <c r="C10" s="7" t="s">
        <v>19</v>
      </c>
      <c r="D10" s="8" t="s">
        <v>20</v>
      </c>
      <c r="E10" s="8" t="s">
        <v>21</v>
      </c>
      <c r="F10" s="9" t="s">
        <v>2</v>
      </c>
      <c r="G10" s="9" t="s">
        <v>2</v>
      </c>
      <c r="H10" s="10"/>
      <c r="I10" s="7" t="s">
        <v>275</v>
      </c>
      <c r="J10" s="51" t="s">
        <v>277</v>
      </c>
      <c r="K10" s="7">
        <v>14</v>
      </c>
    </row>
    <row r="11" spans="1:11" ht="19.5" customHeight="1" x14ac:dyDescent="0.25">
      <c r="A11" s="11" t="s">
        <v>33</v>
      </c>
      <c r="B11" s="12" t="s">
        <v>34</v>
      </c>
      <c r="C11" s="13" t="s">
        <v>19</v>
      </c>
      <c r="D11" s="8" t="s">
        <v>20</v>
      </c>
      <c r="E11" s="14" t="s">
        <v>25</v>
      </c>
      <c r="F11" s="15" t="s">
        <v>2</v>
      </c>
      <c r="G11" s="15" t="s">
        <v>2</v>
      </c>
      <c r="H11" s="16"/>
      <c r="I11" s="13" t="s">
        <v>275</v>
      </c>
      <c r="J11" s="12" t="s">
        <v>277</v>
      </c>
      <c r="K11" s="13">
        <v>28</v>
      </c>
    </row>
    <row r="12" spans="1:11" ht="19.5" customHeight="1" x14ac:dyDescent="0.25">
      <c r="A12" s="5" t="s">
        <v>35</v>
      </c>
      <c r="B12" s="6" t="s">
        <v>35</v>
      </c>
      <c r="C12" s="7" t="s">
        <v>19</v>
      </c>
      <c r="D12" s="8" t="s">
        <v>20</v>
      </c>
      <c r="E12" s="17" t="s">
        <v>36</v>
      </c>
      <c r="F12" s="9" t="s">
        <v>2</v>
      </c>
      <c r="G12" s="9" t="s">
        <v>2</v>
      </c>
      <c r="H12" s="10"/>
      <c r="I12" s="7" t="s">
        <v>275</v>
      </c>
      <c r="J12" s="53" t="s">
        <v>37</v>
      </c>
      <c r="K12" s="7">
        <v>28</v>
      </c>
    </row>
    <row r="13" spans="1:11" ht="19.5" customHeight="1" x14ac:dyDescent="0.25">
      <c r="A13" s="11" t="s">
        <v>38</v>
      </c>
      <c r="B13" s="12" t="s">
        <v>39</v>
      </c>
      <c r="C13" s="13" t="s">
        <v>40</v>
      </c>
      <c r="D13" s="8" t="s">
        <v>20</v>
      </c>
      <c r="E13" s="8" t="s">
        <v>21</v>
      </c>
      <c r="F13" s="15" t="s">
        <v>2</v>
      </c>
      <c r="G13" s="15" t="s">
        <v>2</v>
      </c>
      <c r="H13" s="16"/>
      <c r="I13" s="13" t="s">
        <v>275</v>
      </c>
      <c r="J13" s="12" t="s">
        <v>277</v>
      </c>
      <c r="K13" s="13">
        <v>21</v>
      </c>
    </row>
    <row r="14" spans="1:11" ht="19.5" customHeight="1" x14ac:dyDescent="0.25">
      <c r="A14" s="5" t="s">
        <v>41</v>
      </c>
      <c r="B14" s="6" t="s">
        <v>42</v>
      </c>
      <c r="C14" s="7" t="s">
        <v>19</v>
      </c>
      <c r="D14" s="8" t="s">
        <v>20</v>
      </c>
      <c r="E14" s="8" t="s">
        <v>21</v>
      </c>
      <c r="F14" s="9" t="s">
        <v>2</v>
      </c>
      <c r="G14" s="9" t="s">
        <v>2</v>
      </c>
      <c r="H14" s="10"/>
      <c r="I14" s="7" t="s">
        <v>275</v>
      </c>
      <c r="J14" s="51" t="s">
        <v>277</v>
      </c>
      <c r="K14" s="7">
        <v>14</v>
      </c>
    </row>
    <row r="15" spans="1:11" ht="19.5" customHeight="1" x14ac:dyDescent="0.25">
      <c r="A15" s="11" t="s">
        <v>43</v>
      </c>
      <c r="B15" s="12" t="s">
        <v>43</v>
      </c>
      <c r="C15" s="13" t="s">
        <v>40</v>
      </c>
      <c r="D15" s="8" t="s">
        <v>20</v>
      </c>
      <c r="E15" s="8" t="s">
        <v>21</v>
      </c>
      <c r="F15" s="15" t="s">
        <v>2</v>
      </c>
      <c r="G15" s="15" t="s">
        <v>2</v>
      </c>
      <c r="H15" s="16"/>
      <c r="I15" s="13" t="s">
        <v>275</v>
      </c>
      <c r="J15" s="12" t="s">
        <v>277</v>
      </c>
      <c r="K15" s="13">
        <v>18</v>
      </c>
    </row>
    <row r="16" spans="1:11" ht="19.5" customHeight="1" x14ac:dyDescent="0.25">
      <c r="A16" s="5" t="s">
        <v>44</v>
      </c>
      <c r="B16" s="6" t="s">
        <v>45</v>
      </c>
      <c r="C16" s="7" t="s">
        <v>19</v>
      </c>
      <c r="D16" s="8" t="s">
        <v>20</v>
      </c>
      <c r="E16" s="8" t="s">
        <v>21</v>
      </c>
      <c r="F16" s="9" t="s">
        <v>2</v>
      </c>
      <c r="G16" s="9" t="s">
        <v>2</v>
      </c>
      <c r="H16" s="10"/>
      <c r="I16" s="7" t="s">
        <v>275</v>
      </c>
      <c r="J16" s="51" t="s">
        <v>277</v>
      </c>
      <c r="K16" s="7">
        <v>21</v>
      </c>
    </row>
    <row r="17" spans="1:11" ht="19.5" customHeight="1" x14ac:dyDescent="0.25">
      <c r="A17" s="11" t="s">
        <v>46</v>
      </c>
      <c r="B17" s="12" t="s">
        <v>47</v>
      </c>
      <c r="C17" s="13" t="s">
        <v>40</v>
      </c>
      <c r="D17" s="8" t="s">
        <v>20</v>
      </c>
      <c r="E17" s="8" t="s">
        <v>21</v>
      </c>
      <c r="F17" s="15" t="s">
        <v>2</v>
      </c>
      <c r="G17" s="15" t="s">
        <v>2</v>
      </c>
      <c r="H17" s="16"/>
      <c r="I17" s="13" t="s">
        <v>275</v>
      </c>
      <c r="J17" s="12" t="s">
        <v>277</v>
      </c>
      <c r="K17" s="13">
        <v>14</v>
      </c>
    </row>
    <row r="18" spans="1:11" ht="19.5" customHeight="1" x14ac:dyDescent="0.25">
      <c r="A18" s="5" t="s">
        <v>48</v>
      </c>
      <c r="B18" s="6" t="s">
        <v>49</v>
      </c>
      <c r="C18" s="7" t="s">
        <v>19</v>
      </c>
      <c r="D18" s="8" t="s">
        <v>20</v>
      </c>
      <c r="E18" s="8" t="s">
        <v>21</v>
      </c>
      <c r="F18" s="9" t="s">
        <v>2</v>
      </c>
      <c r="G18" s="9" t="s">
        <v>2</v>
      </c>
      <c r="H18" s="10"/>
      <c r="I18" s="7" t="s">
        <v>275</v>
      </c>
      <c r="J18" s="51" t="s">
        <v>277</v>
      </c>
      <c r="K18" s="7">
        <v>18</v>
      </c>
    </row>
    <row r="19" spans="1:11" ht="19.5" customHeight="1" x14ac:dyDescent="0.25">
      <c r="A19" s="11" t="s">
        <v>50</v>
      </c>
      <c r="B19" s="12" t="s">
        <v>51</v>
      </c>
      <c r="C19" s="13" t="s">
        <v>19</v>
      </c>
      <c r="D19" s="8" t="s">
        <v>20</v>
      </c>
      <c r="E19" s="8" t="s">
        <v>21</v>
      </c>
      <c r="F19" s="15" t="s">
        <v>2</v>
      </c>
      <c r="G19" s="15" t="s">
        <v>2</v>
      </c>
      <c r="H19" s="16"/>
      <c r="I19" s="13" t="s">
        <v>275</v>
      </c>
      <c r="J19" s="12" t="s">
        <v>277</v>
      </c>
      <c r="K19" s="13">
        <v>21</v>
      </c>
    </row>
    <row r="20" spans="1:11" ht="19.5" customHeight="1" x14ac:dyDescent="0.25">
      <c r="A20" s="5" t="s">
        <v>52</v>
      </c>
      <c r="B20" s="6" t="s">
        <v>53</v>
      </c>
      <c r="C20" s="7" t="s">
        <v>19</v>
      </c>
      <c r="D20" s="8" t="s">
        <v>20</v>
      </c>
      <c r="E20" s="8" t="s">
        <v>21</v>
      </c>
      <c r="F20" s="9" t="s">
        <v>2</v>
      </c>
      <c r="G20" s="9" t="s">
        <v>2</v>
      </c>
      <c r="H20" s="10"/>
      <c r="I20" s="7" t="s">
        <v>275</v>
      </c>
      <c r="J20" s="6" t="s">
        <v>277</v>
      </c>
      <c r="K20" s="7">
        <v>28</v>
      </c>
    </row>
    <row r="21" spans="1:11" ht="19.5" customHeight="1" x14ac:dyDescent="0.25">
      <c r="A21" s="11" t="s">
        <v>54</v>
      </c>
      <c r="B21" s="12" t="s">
        <v>49</v>
      </c>
      <c r="C21" s="13" t="s">
        <v>19</v>
      </c>
      <c r="D21" s="8" t="s">
        <v>20</v>
      </c>
      <c r="E21" s="8" t="s">
        <v>21</v>
      </c>
      <c r="F21" s="15" t="s">
        <v>2</v>
      </c>
      <c r="G21" s="15" t="s">
        <v>2</v>
      </c>
      <c r="H21" s="16"/>
      <c r="I21" s="13" t="s">
        <v>275</v>
      </c>
      <c r="J21" s="12" t="s">
        <v>277</v>
      </c>
      <c r="K21" s="13">
        <v>18</v>
      </c>
    </row>
    <row r="22" spans="1:11" ht="19.5" customHeight="1" x14ac:dyDescent="0.25">
      <c r="A22" s="5" t="s">
        <v>55</v>
      </c>
      <c r="B22" s="6" t="s">
        <v>56</v>
      </c>
      <c r="C22" s="7" t="s">
        <v>19</v>
      </c>
      <c r="D22" s="8" t="s">
        <v>20</v>
      </c>
      <c r="E22" s="8" t="s">
        <v>21</v>
      </c>
      <c r="F22" s="9" t="s">
        <v>2</v>
      </c>
      <c r="G22" s="9" t="s">
        <v>2</v>
      </c>
      <c r="H22" s="10"/>
      <c r="I22" s="7" t="s">
        <v>275</v>
      </c>
      <c r="J22" s="6" t="s">
        <v>277</v>
      </c>
      <c r="K22" s="7">
        <v>14</v>
      </c>
    </row>
    <row r="23" spans="1:11" ht="19.5" customHeight="1" x14ac:dyDescent="0.25">
      <c r="A23" s="11" t="s">
        <v>57</v>
      </c>
      <c r="B23" s="12" t="s">
        <v>58</v>
      </c>
      <c r="C23" s="13" t="s">
        <v>19</v>
      </c>
      <c r="D23" s="8" t="s">
        <v>20</v>
      </c>
      <c r="E23" s="8" t="s">
        <v>21</v>
      </c>
      <c r="F23" s="15" t="s">
        <v>2</v>
      </c>
      <c r="G23" s="15" t="s">
        <v>2</v>
      </c>
      <c r="H23" s="16"/>
      <c r="I23" s="13" t="s">
        <v>275</v>
      </c>
      <c r="J23" s="12" t="s">
        <v>277</v>
      </c>
      <c r="K23" s="13">
        <v>18</v>
      </c>
    </row>
    <row r="24" spans="1:11" ht="19.5" customHeight="1" x14ac:dyDescent="0.25">
      <c r="A24" s="5" t="s">
        <v>59</v>
      </c>
      <c r="B24" s="6" t="s">
        <v>60</v>
      </c>
      <c r="C24" s="7" t="s">
        <v>19</v>
      </c>
      <c r="D24" s="8" t="s">
        <v>20</v>
      </c>
      <c r="E24" s="8" t="s">
        <v>21</v>
      </c>
      <c r="F24" s="9" t="s">
        <v>2</v>
      </c>
      <c r="G24" s="9" t="s">
        <v>2</v>
      </c>
      <c r="H24" s="10"/>
      <c r="I24" s="7" t="s">
        <v>275</v>
      </c>
      <c r="J24" s="6" t="s">
        <v>277</v>
      </c>
      <c r="K24" s="7">
        <v>14</v>
      </c>
    </row>
    <row r="25" spans="1:11" ht="19.5" customHeight="1" x14ac:dyDescent="0.25">
      <c r="A25" s="11" t="s">
        <v>61</v>
      </c>
      <c r="B25" s="12" t="s">
        <v>62</v>
      </c>
      <c r="C25" s="13" t="s">
        <v>19</v>
      </c>
      <c r="D25" s="8" t="s">
        <v>20</v>
      </c>
      <c r="E25" s="8" t="s">
        <v>21</v>
      </c>
      <c r="F25" s="15" t="s">
        <v>2</v>
      </c>
      <c r="G25" s="15" t="s">
        <v>2</v>
      </c>
      <c r="H25" s="16"/>
      <c r="I25" s="13" t="s">
        <v>275</v>
      </c>
      <c r="J25" s="12" t="s">
        <v>277</v>
      </c>
      <c r="K25" s="13">
        <v>14</v>
      </c>
    </row>
    <row r="26" spans="1:11" ht="19.5" customHeight="1" x14ac:dyDescent="0.25">
      <c r="A26" s="5" t="s">
        <v>63</v>
      </c>
      <c r="B26" s="6" t="s">
        <v>64</v>
      </c>
      <c r="C26" s="7" t="s">
        <v>40</v>
      </c>
      <c r="D26" s="8" t="s">
        <v>20</v>
      </c>
      <c r="E26" s="14" t="s">
        <v>25</v>
      </c>
      <c r="F26" s="9" t="s">
        <v>2</v>
      </c>
      <c r="G26" s="9" t="s">
        <v>2</v>
      </c>
      <c r="H26" s="10"/>
      <c r="I26" s="7" t="s">
        <v>275</v>
      </c>
      <c r="J26" s="6" t="s">
        <v>277</v>
      </c>
      <c r="K26" s="7">
        <v>21</v>
      </c>
    </row>
    <row r="27" spans="1:11" ht="19.5" customHeight="1" x14ac:dyDescent="0.25">
      <c r="A27" s="11" t="s">
        <v>65</v>
      </c>
      <c r="B27" s="12" t="s">
        <v>66</v>
      </c>
      <c r="C27" s="13" t="s">
        <v>40</v>
      </c>
      <c r="D27" s="8" t="s">
        <v>20</v>
      </c>
      <c r="E27" s="8" t="s">
        <v>21</v>
      </c>
      <c r="F27" s="15" t="s">
        <v>2</v>
      </c>
      <c r="G27" s="15" t="s">
        <v>2</v>
      </c>
      <c r="H27" s="16"/>
      <c r="I27" s="13" t="s">
        <v>275</v>
      </c>
      <c r="J27" s="12" t="s">
        <v>277</v>
      </c>
      <c r="K27" s="13">
        <v>21</v>
      </c>
    </row>
    <row r="28" spans="1:11" ht="19.5" customHeight="1" x14ac:dyDescent="0.25">
      <c r="A28" s="5" t="s">
        <v>67</v>
      </c>
      <c r="B28" s="6" t="s">
        <v>68</v>
      </c>
      <c r="C28" s="7" t="s">
        <v>69</v>
      </c>
      <c r="D28" s="18" t="s">
        <v>70</v>
      </c>
      <c r="E28" s="14" t="s">
        <v>25</v>
      </c>
      <c r="F28" s="9" t="s">
        <v>2</v>
      </c>
      <c r="G28" s="9" t="s">
        <v>2</v>
      </c>
      <c r="H28" s="10"/>
      <c r="I28" s="52">
        <v>46203</v>
      </c>
      <c r="J28" t="s">
        <v>278</v>
      </c>
      <c r="K28" s="7" t="s">
        <v>2</v>
      </c>
    </row>
    <row r="29" spans="1:11" ht="19.5" customHeight="1" x14ac:dyDescent="0.25">
      <c r="A29" s="11" t="s">
        <v>71</v>
      </c>
      <c r="B29" s="12" t="s">
        <v>72</v>
      </c>
      <c r="C29" s="13" t="s">
        <v>69</v>
      </c>
      <c r="D29" s="18" t="s">
        <v>70</v>
      </c>
      <c r="E29" s="14" t="s">
        <v>25</v>
      </c>
      <c r="F29" s="15" t="s">
        <v>2</v>
      </c>
      <c r="G29" s="15" t="s">
        <v>2</v>
      </c>
      <c r="H29" s="16"/>
      <c r="I29" s="13" t="s">
        <v>73</v>
      </c>
      <c r="J29" s="12" t="s">
        <v>278</v>
      </c>
      <c r="K29" s="13" t="s">
        <v>2</v>
      </c>
    </row>
    <row r="30" spans="1:11" ht="19.5" customHeight="1" x14ac:dyDescent="0.25">
      <c r="A30" s="5" t="s">
        <v>74</v>
      </c>
      <c r="B30" s="6" t="s">
        <v>75</v>
      </c>
      <c r="C30" s="7" t="s">
        <v>69</v>
      </c>
      <c r="D30" s="18" t="s">
        <v>69</v>
      </c>
      <c r="E30" s="14" t="s">
        <v>25</v>
      </c>
      <c r="F30" s="9" t="s">
        <v>2</v>
      </c>
      <c r="G30" s="9" t="s">
        <v>2</v>
      </c>
      <c r="H30" s="10"/>
      <c r="I30" s="52">
        <v>46203</v>
      </c>
      <c r="J30" s="6" t="s">
        <v>279</v>
      </c>
      <c r="K30" s="7" t="s">
        <v>2</v>
      </c>
    </row>
    <row r="32" spans="1:11" ht="7.5" customHeight="1" x14ac:dyDescent="0.25"/>
    <row r="33" spans="1:11" ht="21.75" customHeight="1" x14ac:dyDescent="0.25">
      <c r="A33" s="19" t="s">
        <v>76</v>
      </c>
      <c r="B33" s="20"/>
      <c r="C33" s="20"/>
      <c r="D33" s="20"/>
      <c r="E33" s="20"/>
      <c r="F33" s="20"/>
      <c r="G33" s="20"/>
      <c r="H33" s="20"/>
      <c r="I33" s="20"/>
      <c r="J33" s="20"/>
      <c r="K33" s="20"/>
    </row>
    <row r="34" spans="1:11" ht="30" customHeight="1" x14ac:dyDescent="0.25">
      <c r="A34" s="4" t="s">
        <v>77</v>
      </c>
      <c r="B34" s="4" t="s">
        <v>78</v>
      </c>
      <c r="C34" s="4" t="s">
        <v>79</v>
      </c>
      <c r="D34" s="4" t="s">
        <v>80</v>
      </c>
      <c r="E34" s="4" t="s">
        <v>81</v>
      </c>
      <c r="F34" s="4" t="s">
        <v>82</v>
      </c>
      <c r="G34" s="4" t="s">
        <v>83</v>
      </c>
    </row>
    <row r="35" spans="1:11" ht="87.75" customHeight="1" x14ac:dyDescent="0.25">
      <c r="A35" s="13">
        <v>1</v>
      </c>
      <c r="B35" s="12" t="s">
        <v>74</v>
      </c>
      <c r="C35" s="12" t="s">
        <v>271</v>
      </c>
      <c r="D35" s="12" t="s">
        <v>272</v>
      </c>
      <c r="E35" s="12" t="s">
        <v>273</v>
      </c>
      <c r="F35" s="12" t="s">
        <v>274</v>
      </c>
      <c r="G35" s="49">
        <v>46082</v>
      </c>
    </row>
    <row r="36" spans="1:11" ht="7.5" customHeight="1" x14ac:dyDescent="0.25"/>
    <row r="37" spans="1:11" ht="21.75" customHeight="1" x14ac:dyDescent="0.25">
      <c r="A37" s="19" t="s">
        <v>86</v>
      </c>
      <c r="B37" s="20"/>
      <c r="C37" s="20"/>
      <c r="D37" s="20"/>
      <c r="E37" s="20"/>
      <c r="F37" s="20"/>
      <c r="G37" s="20"/>
      <c r="H37" s="20"/>
      <c r="I37" s="20"/>
      <c r="J37" s="20"/>
      <c r="K37" s="20"/>
    </row>
    <row r="38" spans="1:11" ht="30" customHeight="1" x14ac:dyDescent="0.25">
      <c r="A38" s="4" t="s">
        <v>78</v>
      </c>
      <c r="B38" s="4" t="s">
        <v>87</v>
      </c>
      <c r="C38" s="4" t="s">
        <v>88</v>
      </c>
      <c r="D38" s="4" t="s">
        <v>9</v>
      </c>
      <c r="E38" s="4" t="s">
        <v>89</v>
      </c>
      <c r="F38" s="4" t="s">
        <v>90</v>
      </c>
    </row>
    <row r="39" spans="1:11" ht="21.75" customHeight="1" x14ac:dyDescent="0.25">
      <c r="A39" t="s">
        <v>257</v>
      </c>
    </row>
    <row r="40" spans="1:11" ht="7.5" customHeight="1" x14ac:dyDescent="0.25"/>
    <row r="41" spans="1:11" ht="21.75" customHeight="1" x14ac:dyDescent="0.25">
      <c r="A41" s="19" t="s">
        <v>92</v>
      </c>
      <c r="B41" s="20"/>
      <c r="C41" s="20"/>
      <c r="D41" s="20"/>
      <c r="E41" s="20"/>
      <c r="F41" s="20"/>
      <c r="G41" s="20"/>
      <c r="H41" s="20"/>
      <c r="I41" s="20"/>
      <c r="J41" s="20"/>
      <c r="K41" s="20"/>
    </row>
    <row r="42" spans="1:11" ht="30" customHeight="1" x14ac:dyDescent="0.25">
      <c r="A42" s="4" t="s">
        <v>6</v>
      </c>
      <c r="B42" s="4" t="s">
        <v>7</v>
      </c>
      <c r="C42" s="4" t="s">
        <v>93</v>
      </c>
      <c r="D42" s="4" t="s">
        <v>4</v>
      </c>
      <c r="E42" s="4" t="s">
        <v>94</v>
      </c>
      <c r="F42" s="4" t="s">
        <v>95</v>
      </c>
    </row>
    <row r="43" spans="1:11" ht="18" customHeight="1" x14ac:dyDescent="0.25">
      <c r="A43" s="6"/>
      <c r="B43" s="6"/>
      <c r="C43" s="6"/>
      <c r="D43" s="6"/>
      <c r="E43" s="6"/>
      <c r="F43" s="6"/>
    </row>
    <row r="44" spans="1:11" ht="18" customHeight="1" x14ac:dyDescent="0.25">
      <c r="A44" s="12"/>
      <c r="B44" s="12"/>
      <c r="C44" s="12"/>
      <c r="D44" s="12"/>
      <c r="E44" s="12"/>
      <c r="F44" s="12"/>
    </row>
    <row r="45" spans="1:11" ht="18" customHeight="1" x14ac:dyDescent="0.25">
      <c r="A45" s="6"/>
      <c r="B45" s="6"/>
      <c r="C45" s="6"/>
      <c r="D45" s="6"/>
      <c r="E45" s="6"/>
      <c r="F45" s="6"/>
    </row>
    <row r="46" spans="1:11" ht="18" customHeight="1" x14ac:dyDescent="0.25">
      <c r="A46" s="12"/>
      <c r="B46" s="12"/>
      <c r="C46" s="12"/>
      <c r="D46" s="12"/>
      <c r="E46" s="12"/>
      <c r="F46" s="12"/>
    </row>
    <row r="49" spans="1:1" ht="15" customHeight="1" x14ac:dyDescent="0.25">
      <c r="A49" s="21" t="s">
        <v>106</v>
      </c>
    </row>
  </sheetData>
  <pageMargins left="0.75" right="0.75" top="1" bottom="1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8"/>
  <sheetViews>
    <sheetView zoomScaleNormal="100" workbookViewId="0">
      <pane ySplit="3" topLeftCell="A10" activePane="bottomLeft" state="frozen"/>
      <selection pane="bottomLeft" activeCell="A9" sqref="A9"/>
    </sheetView>
  </sheetViews>
  <sheetFormatPr defaultColWidth="8.7109375" defaultRowHeight="15" x14ac:dyDescent="0.25"/>
  <cols>
    <col min="1" max="1" width="82.7109375" bestFit="1" customWidth="1"/>
    <col min="2" max="2" width="17" bestFit="1" customWidth="1"/>
    <col min="3" max="3" width="11.7109375" bestFit="1" customWidth="1"/>
    <col min="4" max="4" width="8.140625" bestFit="1" customWidth="1"/>
    <col min="5" max="5" width="8.42578125" bestFit="1" customWidth="1"/>
    <col min="6" max="6" width="7.42578125" bestFit="1" customWidth="1"/>
    <col min="7" max="7" width="8.42578125" bestFit="1" customWidth="1"/>
    <col min="8" max="8" width="5.5703125" bestFit="1" customWidth="1"/>
    <col min="9" max="9" width="8.42578125" bestFit="1" customWidth="1"/>
    <col min="10" max="10" width="15.7109375" bestFit="1" customWidth="1"/>
  </cols>
  <sheetData>
    <row r="1" spans="1:10" ht="25.5" customHeight="1" x14ac:dyDescent="0.25">
      <c r="A1" s="1" t="s">
        <v>107</v>
      </c>
    </row>
    <row r="2" spans="1:10" ht="15" customHeight="1" x14ac:dyDescent="0.25">
      <c r="A2" s="2" t="s">
        <v>108</v>
      </c>
    </row>
    <row r="3" spans="1:10" ht="36" customHeight="1" x14ac:dyDescent="0.25">
      <c r="A3" s="4" t="s">
        <v>6</v>
      </c>
      <c r="B3" s="4" t="s">
        <v>7</v>
      </c>
      <c r="C3" s="4" t="s">
        <v>109</v>
      </c>
      <c r="D3" s="4" t="s">
        <v>110</v>
      </c>
      <c r="E3" s="4" t="s">
        <v>111</v>
      </c>
      <c r="F3" s="4" t="s">
        <v>112</v>
      </c>
      <c r="G3" s="4" t="s">
        <v>113</v>
      </c>
      <c r="H3" s="4" t="s">
        <v>114</v>
      </c>
      <c r="I3" s="4" t="s">
        <v>115</v>
      </c>
      <c r="J3" s="4" t="s">
        <v>9</v>
      </c>
    </row>
    <row r="4" spans="1:10" ht="19.5" customHeight="1" x14ac:dyDescent="0.25">
      <c r="A4" s="5" t="s">
        <v>17</v>
      </c>
      <c r="B4" s="6" t="s">
        <v>18</v>
      </c>
      <c r="C4" s="8">
        <v>3</v>
      </c>
      <c r="D4" s="22">
        <v>1</v>
      </c>
      <c r="E4" s="8">
        <v>3</v>
      </c>
      <c r="F4" s="8">
        <v>3</v>
      </c>
      <c r="G4" s="14">
        <v>2</v>
      </c>
      <c r="H4" s="10">
        <f t="shared" ref="H4:H28" si="0">SUM(C4:G4)</f>
        <v>12</v>
      </c>
      <c r="I4" s="23">
        <f t="shared" ref="I4:I28" si="1">H4/15</f>
        <v>0.8</v>
      </c>
      <c r="J4" s="24" t="str">
        <f t="shared" ref="J4:J25" si="2">IF(H4&gt;=13,"Ready",IF(H4&gt;=10,"Viable","Gaps"))</f>
        <v>Viable</v>
      </c>
    </row>
    <row r="5" spans="1:10" ht="19.5" customHeight="1" x14ac:dyDescent="0.25">
      <c r="A5" s="11" t="s">
        <v>23</v>
      </c>
      <c r="B5" s="12" t="s">
        <v>24</v>
      </c>
      <c r="C5" s="8">
        <v>3</v>
      </c>
      <c r="D5" s="8">
        <v>3</v>
      </c>
      <c r="E5" s="8">
        <v>3</v>
      </c>
      <c r="F5" s="14">
        <v>2</v>
      </c>
      <c r="G5" s="8">
        <v>3</v>
      </c>
      <c r="H5" s="16">
        <f t="shared" si="0"/>
        <v>14</v>
      </c>
      <c r="I5" s="25">
        <f t="shared" si="1"/>
        <v>0.93333333333333335</v>
      </c>
      <c r="J5" s="24" t="str">
        <f t="shared" si="2"/>
        <v>Ready</v>
      </c>
    </row>
    <row r="6" spans="1:10" ht="19.5" customHeight="1" x14ac:dyDescent="0.25">
      <c r="A6" s="5" t="s">
        <v>27</v>
      </c>
      <c r="B6" s="6" t="s">
        <v>28</v>
      </c>
      <c r="C6" s="8">
        <v>3</v>
      </c>
      <c r="D6" s="22">
        <v>1</v>
      </c>
      <c r="E6" s="14">
        <v>2</v>
      </c>
      <c r="F6" s="14">
        <v>2</v>
      </c>
      <c r="G6" s="14">
        <v>2</v>
      </c>
      <c r="H6" s="10">
        <f t="shared" si="0"/>
        <v>10</v>
      </c>
      <c r="I6" s="23">
        <f t="shared" si="1"/>
        <v>0.66666666666666663</v>
      </c>
      <c r="J6" s="24" t="str">
        <f t="shared" si="2"/>
        <v>Viable</v>
      </c>
    </row>
    <row r="7" spans="1:10" ht="19.5" customHeight="1" x14ac:dyDescent="0.25">
      <c r="A7" s="11" t="s">
        <v>29</v>
      </c>
      <c r="B7" s="12" t="s">
        <v>30</v>
      </c>
      <c r="C7" s="14">
        <v>2</v>
      </c>
      <c r="D7" s="22">
        <v>1</v>
      </c>
      <c r="E7" s="14">
        <v>2</v>
      </c>
      <c r="F7" s="14">
        <v>2</v>
      </c>
      <c r="G7" s="14">
        <v>2</v>
      </c>
      <c r="H7" s="16">
        <f t="shared" si="0"/>
        <v>9</v>
      </c>
      <c r="I7" s="25">
        <f t="shared" si="1"/>
        <v>0.6</v>
      </c>
      <c r="J7" s="24" t="str">
        <f t="shared" si="2"/>
        <v>Gaps</v>
      </c>
    </row>
    <row r="8" spans="1:10" ht="19.5" customHeight="1" x14ac:dyDescent="0.25">
      <c r="A8" s="5" t="s">
        <v>31</v>
      </c>
      <c r="B8" s="6" t="s">
        <v>32</v>
      </c>
      <c r="C8" s="14">
        <v>2</v>
      </c>
      <c r="D8" s="22">
        <v>1</v>
      </c>
      <c r="E8" s="14">
        <v>2</v>
      </c>
      <c r="F8" s="14">
        <v>2</v>
      </c>
      <c r="G8" s="14">
        <v>2</v>
      </c>
      <c r="H8" s="10">
        <f t="shared" si="0"/>
        <v>9</v>
      </c>
      <c r="I8" s="23">
        <f t="shared" si="1"/>
        <v>0.6</v>
      </c>
      <c r="J8" s="24" t="str">
        <f t="shared" si="2"/>
        <v>Gaps</v>
      </c>
    </row>
    <row r="9" spans="1:10" ht="19.5" customHeight="1" x14ac:dyDescent="0.25">
      <c r="A9" s="11" t="s">
        <v>33</v>
      </c>
      <c r="B9" s="12" t="s">
        <v>34</v>
      </c>
      <c r="C9" s="8">
        <v>3</v>
      </c>
      <c r="D9" s="22">
        <v>1</v>
      </c>
      <c r="E9" s="8">
        <v>3</v>
      </c>
      <c r="F9" s="8">
        <v>3</v>
      </c>
      <c r="G9" s="14">
        <v>2</v>
      </c>
      <c r="H9" s="16">
        <f t="shared" si="0"/>
        <v>12</v>
      </c>
      <c r="I9" s="25">
        <f t="shared" si="1"/>
        <v>0.8</v>
      </c>
      <c r="J9" s="24" t="str">
        <f t="shared" si="2"/>
        <v>Viable</v>
      </c>
    </row>
    <row r="10" spans="1:10" ht="19.5" customHeight="1" x14ac:dyDescent="0.25">
      <c r="A10" s="5" t="s">
        <v>35</v>
      </c>
      <c r="B10" s="6" t="s">
        <v>35</v>
      </c>
      <c r="C10" s="14">
        <v>2</v>
      </c>
      <c r="D10" s="22">
        <v>1</v>
      </c>
      <c r="E10" s="8">
        <v>3</v>
      </c>
      <c r="F10" s="8">
        <v>3</v>
      </c>
      <c r="G10" s="14">
        <v>2</v>
      </c>
      <c r="H10" s="10">
        <f t="shared" si="0"/>
        <v>11</v>
      </c>
      <c r="I10" s="23">
        <f t="shared" si="1"/>
        <v>0.73333333333333328</v>
      </c>
      <c r="J10" s="24" t="str">
        <f t="shared" si="2"/>
        <v>Viable</v>
      </c>
    </row>
    <row r="11" spans="1:10" ht="19.5" customHeight="1" x14ac:dyDescent="0.25">
      <c r="A11" s="11" t="s">
        <v>38</v>
      </c>
      <c r="B11" s="12" t="s">
        <v>39</v>
      </c>
      <c r="C11" s="14">
        <v>2</v>
      </c>
      <c r="D11" s="22">
        <v>1</v>
      </c>
      <c r="E11" s="14">
        <v>2</v>
      </c>
      <c r="F11" s="14">
        <v>2</v>
      </c>
      <c r="G11" s="14">
        <v>2</v>
      </c>
      <c r="H11" s="16">
        <f t="shared" si="0"/>
        <v>9</v>
      </c>
      <c r="I11" s="25">
        <f t="shared" si="1"/>
        <v>0.6</v>
      </c>
      <c r="J11" s="24" t="str">
        <f t="shared" si="2"/>
        <v>Gaps</v>
      </c>
    </row>
    <row r="12" spans="1:10" ht="19.5" customHeight="1" x14ac:dyDescent="0.25">
      <c r="A12" s="5" t="s">
        <v>41</v>
      </c>
      <c r="B12" s="6" t="s">
        <v>42</v>
      </c>
      <c r="C12" s="14">
        <v>2</v>
      </c>
      <c r="D12" s="22">
        <v>1</v>
      </c>
      <c r="E12" s="22">
        <v>1</v>
      </c>
      <c r="F12" s="22">
        <v>1</v>
      </c>
      <c r="G12" s="22">
        <v>1</v>
      </c>
      <c r="H12" s="10">
        <f t="shared" si="0"/>
        <v>6</v>
      </c>
      <c r="I12" s="23">
        <f t="shared" si="1"/>
        <v>0.4</v>
      </c>
      <c r="J12" s="24" t="str">
        <f t="shared" si="2"/>
        <v>Gaps</v>
      </c>
    </row>
    <row r="13" spans="1:10" ht="19.5" customHeight="1" x14ac:dyDescent="0.25">
      <c r="A13" s="11" t="s">
        <v>43</v>
      </c>
      <c r="B13" s="12" t="s">
        <v>43</v>
      </c>
      <c r="C13" s="14">
        <v>2</v>
      </c>
      <c r="D13" s="22">
        <v>1</v>
      </c>
      <c r="E13" s="14">
        <v>2</v>
      </c>
      <c r="F13" s="14">
        <v>2</v>
      </c>
      <c r="G13" s="22">
        <v>1</v>
      </c>
      <c r="H13" s="16">
        <f t="shared" si="0"/>
        <v>8</v>
      </c>
      <c r="I13" s="25">
        <f t="shared" si="1"/>
        <v>0.53333333333333333</v>
      </c>
      <c r="J13" s="24" t="str">
        <f t="shared" si="2"/>
        <v>Gaps</v>
      </c>
    </row>
    <row r="14" spans="1:10" ht="19.5" customHeight="1" x14ac:dyDescent="0.25">
      <c r="A14" s="5" t="s">
        <v>44</v>
      </c>
      <c r="B14" s="6" t="s">
        <v>45</v>
      </c>
      <c r="C14" s="8">
        <v>3</v>
      </c>
      <c r="D14" s="22">
        <v>1</v>
      </c>
      <c r="E14" s="14">
        <v>2</v>
      </c>
      <c r="F14" s="14">
        <v>2</v>
      </c>
      <c r="G14" s="14">
        <v>2</v>
      </c>
      <c r="H14" s="10">
        <f t="shared" si="0"/>
        <v>10</v>
      </c>
      <c r="I14" s="23">
        <f t="shared" si="1"/>
        <v>0.66666666666666663</v>
      </c>
      <c r="J14" s="24" t="str">
        <f t="shared" si="2"/>
        <v>Viable</v>
      </c>
    </row>
    <row r="15" spans="1:10" ht="19.5" customHeight="1" x14ac:dyDescent="0.25">
      <c r="A15" s="11" t="s">
        <v>46</v>
      </c>
      <c r="B15" s="12" t="s">
        <v>47</v>
      </c>
      <c r="C15" s="14">
        <v>2</v>
      </c>
      <c r="D15" s="22">
        <v>1</v>
      </c>
      <c r="E15" s="14">
        <v>2</v>
      </c>
      <c r="F15" s="14">
        <v>2</v>
      </c>
      <c r="G15" s="14">
        <v>2</v>
      </c>
      <c r="H15" s="16">
        <f t="shared" si="0"/>
        <v>9</v>
      </c>
      <c r="I15" s="25">
        <f t="shared" si="1"/>
        <v>0.6</v>
      </c>
      <c r="J15" s="24" t="str">
        <f t="shared" si="2"/>
        <v>Gaps</v>
      </c>
    </row>
    <row r="16" spans="1:10" ht="19.5" customHeight="1" x14ac:dyDescent="0.25">
      <c r="A16" s="5" t="s">
        <v>48</v>
      </c>
      <c r="B16" s="6" t="s">
        <v>49</v>
      </c>
      <c r="C16" s="14">
        <v>2</v>
      </c>
      <c r="D16" s="22">
        <v>1</v>
      </c>
      <c r="E16" s="14">
        <v>2</v>
      </c>
      <c r="F16" s="14">
        <v>2</v>
      </c>
      <c r="G16" s="14">
        <v>2</v>
      </c>
      <c r="H16" s="10">
        <f t="shared" si="0"/>
        <v>9</v>
      </c>
      <c r="I16" s="23">
        <f t="shared" si="1"/>
        <v>0.6</v>
      </c>
      <c r="J16" s="24" t="str">
        <f t="shared" si="2"/>
        <v>Gaps</v>
      </c>
    </row>
    <row r="17" spans="1:10" ht="19.5" customHeight="1" x14ac:dyDescent="0.25">
      <c r="A17" s="11" t="s">
        <v>50</v>
      </c>
      <c r="B17" s="12" t="s">
        <v>51</v>
      </c>
      <c r="C17" s="14">
        <v>2</v>
      </c>
      <c r="D17" s="22">
        <v>1</v>
      </c>
      <c r="E17" s="14">
        <v>2</v>
      </c>
      <c r="F17" s="22">
        <v>1</v>
      </c>
      <c r="G17" s="14">
        <v>2</v>
      </c>
      <c r="H17" s="16">
        <f t="shared" si="0"/>
        <v>8</v>
      </c>
      <c r="I17" s="25">
        <f t="shared" si="1"/>
        <v>0.53333333333333333</v>
      </c>
      <c r="J17" s="24" t="str">
        <f t="shared" si="2"/>
        <v>Gaps</v>
      </c>
    </row>
    <row r="18" spans="1:10" ht="19.5" customHeight="1" x14ac:dyDescent="0.25">
      <c r="A18" s="5" t="s">
        <v>52</v>
      </c>
      <c r="B18" s="6" t="s">
        <v>53</v>
      </c>
      <c r="C18" s="8">
        <v>3</v>
      </c>
      <c r="D18" s="8">
        <v>3</v>
      </c>
      <c r="E18" s="14">
        <v>2</v>
      </c>
      <c r="F18" s="14">
        <v>2</v>
      </c>
      <c r="G18" s="8">
        <v>3</v>
      </c>
      <c r="H18" s="10">
        <f t="shared" si="0"/>
        <v>13</v>
      </c>
      <c r="I18" s="23">
        <f t="shared" si="1"/>
        <v>0.8666666666666667</v>
      </c>
      <c r="J18" s="24" t="str">
        <f t="shared" si="2"/>
        <v>Ready</v>
      </c>
    </row>
    <row r="19" spans="1:10" ht="19.5" customHeight="1" x14ac:dyDescent="0.25">
      <c r="A19" s="11" t="s">
        <v>54</v>
      </c>
      <c r="B19" s="12" t="s">
        <v>49</v>
      </c>
      <c r="C19" s="14">
        <v>2</v>
      </c>
      <c r="D19" s="22">
        <v>1</v>
      </c>
      <c r="E19" s="14">
        <v>2</v>
      </c>
      <c r="F19" s="14">
        <v>2</v>
      </c>
      <c r="G19" s="14">
        <v>2</v>
      </c>
      <c r="H19" s="16">
        <f t="shared" si="0"/>
        <v>9</v>
      </c>
      <c r="I19" s="25">
        <f t="shared" si="1"/>
        <v>0.6</v>
      </c>
      <c r="J19" s="24" t="str">
        <f t="shared" si="2"/>
        <v>Gaps</v>
      </c>
    </row>
    <row r="20" spans="1:10" ht="19.5" customHeight="1" x14ac:dyDescent="0.25">
      <c r="A20" s="5" t="s">
        <v>55</v>
      </c>
      <c r="B20" s="6" t="s">
        <v>56</v>
      </c>
      <c r="C20" s="14">
        <v>2</v>
      </c>
      <c r="D20" s="8">
        <v>3</v>
      </c>
      <c r="E20" s="22">
        <v>1</v>
      </c>
      <c r="F20" s="22">
        <v>1</v>
      </c>
      <c r="G20" s="14">
        <v>2</v>
      </c>
      <c r="H20" s="10">
        <f t="shared" si="0"/>
        <v>9</v>
      </c>
      <c r="I20" s="23">
        <f t="shared" si="1"/>
        <v>0.6</v>
      </c>
      <c r="J20" s="24" t="str">
        <f t="shared" si="2"/>
        <v>Gaps</v>
      </c>
    </row>
    <row r="21" spans="1:10" ht="19.5" customHeight="1" x14ac:dyDescent="0.25">
      <c r="A21" s="11" t="s">
        <v>57</v>
      </c>
      <c r="B21" s="12" t="s">
        <v>58</v>
      </c>
      <c r="C21" s="14">
        <v>2</v>
      </c>
      <c r="D21" s="8">
        <v>3</v>
      </c>
      <c r="E21" s="22">
        <v>1</v>
      </c>
      <c r="F21" s="22">
        <v>1</v>
      </c>
      <c r="G21" s="14">
        <v>2</v>
      </c>
      <c r="H21" s="16">
        <f t="shared" si="0"/>
        <v>9</v>
      </c>
      <c r="I21" s="25">
        <f t="shared" si="1"/>
        <v>0.6</v>
      </c>
      <c r="J21" s="24" t="str">
        <f t="shared" si="2"/>
        <v>Gaps</v>
      </c>
    </row>
    <row r="22" spans="1:10" ht="19.5" customHeight="1" x14ac:dyDescent="0.25">
      <c r="A22" s="5" t="s">
        <v>59</v>
      </c>
      <c r="B22" s="6" t="s">
        <v>60</v>
      </c>
      <c r="C22" s="14">
        <v>2</v>
      </c>
      <c r="D22" s="8">
        <v>3</v>
      </c>
      <c r="E22" s="22">
        <v>1</v>
      </c>
      <c r="F22" s="22">
        <v>1</v>
      </c>
      <c r="G22" s="22">
        <v>1</v>
      </c>
      <c r="H22" s="10">
        <f t="shared" si="0"/>
        <v>8</v>
      </c>
      <c r="I22" s="23">
        <f t="shared" si="1"/>
        <v>0.53333333333333333</v>
      </c>
      <c r="J22" s="24" t="str">
        <f t="shared" si="2"/>
        <v>Gaps</v>
      </c>
    </row>
    <row r="23" spans="1:10" ht="19.5" customHeight="1" x14ac:dyDescent="0.25">
      <c r="A23" s="11" t="s">
        <v>61</v>
      </c>
      <c r="B23" s="12" t="s">
        <v>62</v>
      </c>
      <c r="C23" s="14">
        <v>2</v>
      </c>
      <c r="D23" s="22">
        <v>1</v>
      </c>
      <c r="E23" s="14">
        <v>2</v>
      </c>
      <c r="F23" s="14">
        <v>2</v>
      </c>
      <c r="G23" s="22">
        <v>1</v>
      </c>
      <c r="H23" s="16">
        <f t="shared" si="0"/>
        <v>8</v>
      </c>
      <c r="I23" s="25">
        <f t="shared" si="1"/>
        <v>0.53333333333333333</v>
      </c>
      <c r="J23" s="24" t="str">
        <f t="shared" si="2"/>
        <v>Gaps</v>
      </c>
    </row>
    <row r="24" spans="1:10" ht="19.5" customHeight="1" x14ac:dyDescent="0.25">
      <c r="A24" s="5" t="s">
        <v>63</v>
      </c>
      <c r="B24" s="6" t="s">
        <v>64</v>
      </c>
      <c r="C24" s="14">
        <v>2</v>
      </c>
      <c r="D24" s="8">
        <v>3</v>
      </c>
      <c r="E24" s="14">
        <v>2</v>
      </c>
      <c r="F24" s="14">
        <v>2</v>
      </c>
      <c r="G24" s="8">
        <v>3</v>
      </c>
      <c r="H24" s="10">
        <f t="shared" si="0"/>
        <v>12</v>
      </c>
      <c r="I24" s="23">
        <f t="shared" si="1"/>
        <v>0.8</v>
      </c>
      <c r="J24" s="24" t="str">
        <f t="shared" si="2"/>
        <v>Viable</v>
      </c>
    </row>
    <row r="25" spans="1:10" ht="19.5" customHeight="1" x14ac:dyDescent="0.25">
      <c r="A25" s="11" t="s">
        <v>65</v>
      </c>
      <c r="B25" s="12" t="s">
        <v>66</v>
      </c>
      <c r="C25" s="14">
        <v>2</v>
      </c>
      <c r="D25" s="8">
        <v>3</v>
      </c>
      <c r="E25" s="14">
        <v>2</v>
      </c>
      <c r="F25" s="14">
        <v>2</v>
      </c>
      <c r="G25" s="8">
        <v>3</v>
      </c>
      <c r="H25" s="16">
        <f t="shared" si="0"/>
        <v>12</v>
      </c>
      <c r="I25" s="25">
        <f t="shared" si="1"/>
        <v>0.8</v>
      </c>
      <c r="J25" s="24" t="str">
        <f t="shared" si="2"/>
        <v>Viable</v>
      </c>
    </row>
    <row r="26" spans="1:10" ht="19.5" customHeight="1" x14ac:dyDescent="0.25">
      <c r="A26" s="5" t="s">
        <v>67</v>
      </c>
      <c r="B26" s="6" t="s">
        <v>68</v>
      </c>
      <c r="C26" s="26">
        <v>3</v>
      </c>
      <c r="D26" s="26">
        <v>3</v>
      </c>
      <c r="E26" s="26">
        <v>2</v>
      </c>
      <c r="F26" s="26">
        <v>2</v>
      </c>
      <c r="G26" s="26">
        <v>2</v>
      </c>
      <c r="H26" s="10">
        <f t="shared" si="0"/>
        <v>12</v>
      </c>
      <c r="I26" s="23">
        <f t="shared" si="1"/>
        <v>0.8</v>
      </c>
      <c r="J26" s="18" t="s">
        <v>116</v>
      </c>
    </row>
    <row r="27" spans="1:10" ht="19.5" customHeight="1" x14ac:dyDescent="0.25">
      <c r="A27" s="11" t="s">
        <v>71</v>
      </c>
      <c r="B27" s="12" t="s">
        <v>72</v>
      </c>
      <c r="C27" s="26">
        <v>2</v>
      </c>
      <c r="D27" s="26">
        <v>3</v>
      </c>
      <c r="E27" s="26">
        <v>1</v>
      </c>
      <c r="F27" s="26">
        <v>1</v>
      </c>
      <c r="G27" s="26">
        <v>2</v>
      </c>
      <c r="H27" s="16">
        <f t="shared" si="0"/>
        <v>9</v>
      </c>
      <c r="I27" s="25">
        <f t="shared" si="1"/>
        <v>0.6</v>
      </c>
      <c r="J27" s="18" t="s">
        <v>116</v>
      </c>
    </row>
    <row r="28" spans="1:10" ht="19.5" customHeight="1" x14ac:dyDescent="0.25">
      <c r="A28" s="5" t="s">
        <v>74</v>
      </c>
      <c r="B28" s="6" t="s">
        <v>75</v>
      </c>
      <c r="C28" s="26">
        <v>3</v>
      </c>
      <c r="D28" s="26">
        <v>3</v>
      </c>
      <c r="E28" s="26">
        <v>2</v>
      </c>
      <c r="F28" s="26">
        <v>3</v>
      </c>
      <c r="G28" s="26">
        <v>2</v>
      </c>
      <c r="H28" s="10">
        <f t="shared" si="0"/>
        <v>13</v>
      </c>
      <c r="I28" s="23">
        <f t="shared" si="1"/>
        <v>0.8666666666666667</v>
      </c>
      <c r="J28" s="18" t="s">
        <v>116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8"/>
  <sheetViews>
    <sheetView zoomScaleNormal="100" workbookViewId="0">
      <pane ySplit="3" topLeftCell="A8" activePane="bottomLeft" state="frozen"/>
      <selection pane="bottomLeft" activeCell="I31" sqref="I31"/>
    </sheetView>
  </sheetViews>
  <sheetFormatPr defaultColWidth="8.7109375" defaultRowHeight="15" x14ac:dyDescent="0.25"/>
  <cols>
    <col min="1" max="1" width="66.140625" bestFit="1" customWidth="1"/>
    <col min="2" max="2" width="17" bestFit="1" customWidth="1"/>
    <col min="3" max="3" width="20.140625" bestFit="1" customWidth="1"/>
    <col min="4" max="4" width="16.140625" bestFit="1" customWidth="1"/>
    <col min="5" max="6" width="10.7109375" bestFit="1" customWidth="1"/>
    <col min="7" max="7" width="8.85546875" bestFit="1" customWidth="1"/>
    <col min="8" max="8" width="10" bestFit="1" customWidth="1"/>
    <col min="9" max="9" width="85.7109375" bestFit="1" customWidth="1"/>
  </cols>
  <sheetData>
    <row r="1" spans="1:9" ht="25.5" customHeight="1" x14ac:dyDescent="0.25">
      <c r="A1" s="1" t="s">
        <v>117</v>
      </c>
    </row>
    <row r="2" spans="1:9" ht="15" customHeight="1" x14ac:dyDescent="0.25">
      <c r="A2" s="2" t="s">
        <v>118</v>
      </c>
    </row>
    <row r="3" spans="1:9" ht="30" customHeight="1" x14ac:dyDescent="0.25">
      <c r="A3" s="4" t="s">
        <v>6</v>
      </c>
      <c r="B3" s="4" t="s">
        <v>7</v>
      </c>
      <c r="C3" s="4" t="s">
        <v>119</v>
      </c>
      <c r="D3" s="4" t="s">
        <v>8</v>
      </c>
      <c r="E3" s="4" t="s">
        <v>120</v>
      </c>
      <c r="F3" s="4" t="s">
        <v>121</v>
      </c>
      <c r="G3" s="4" t="s">
        <v>122</v>
      </c>
      <c r="H3" s="4" t="s">
        <v>9</v>
      </c>
      <c r="I3" s="4" t="s">
        <v>123</v>
      </c>
    </row>
    <row r="4" spans="1:9" ht="19.5" customHeight="1" x14ac:dyDescent="0.25">
      <c r="A4" s="5" t="s">
        <v>17</v>
      </c>
      <c r="B4" s="6" t="s">
        <v>18</v>
      </c>
      <c r="C4" s="6" t="s">
        <v>124</v>
      </c>
      <c r="D4" s="7" t="s">
        <v>19</v>
      </c>
      <c r="E4" s="27">
        <v>42767</v>
      </c>
      <c r="F4" s="27">
        <v>42788</v>
      </c>
      <c r="G4" s="28">
        <f t="shared" ref="G4:G25" si="0">F4-E4</f>
        <v>21</v>
      </c>
      <c r="H4" s="8" t="s">
        <v>20</v>
      </c>
      <c r="I4" s="6" t="s">
        <v>22</v>
      </c>
    </row>
    <row r="5" spans="1:9" ht="19.5" customHeight="1" x14ac:dyDescent="0.25">
      <c r="A5" s="11" t="s">
        <v>23</v>
      </c>
      <c r="B5" s="12" t="s">
        <v>24</v>
      </c>
      <c r="C5" s="12" t="s">
        <v>125</v>
      </c>
      <c r="D5" s="13" t="s">
        <v>19</v>
      </c>
      <c r="E5" s="29">
        <v>44211</v>
      </c>
      <c r="F5" s="29">
        <v>44241</v>
      </c>
      <c r="G5" s="30">
        <f t="shared" si="0"/>
        <v>30</v>
      </c>
      <c r="H5" s="8" t="s">
        <v>20</v>
      </c>
      <c r="I5" s="12" t="s">
        <v>22</v>
      </c>
    </row>
    <row r="6" spans="1:9" ht="19.5" customHeight="1" x14ac:dyDescent="0.25">
      <c r="A6" s="5" t="s">
        <v>27</v>
      </c>
      <c r="B6" s="6" t="s">
        <v>28</v>
      </c>
      <c r="C6" s="6" t="s">
        <v>126</v>
      </c>
      <c r="D6" s="7" t="s">
        <v>19</v>
      </c>
      <c r="E6" s="27">
        <v>43115</v>
      </c>
      <c r="F6" s="27">
        <v>43133</v>
      </c>
      <c r="G6" s="28">
        <f t="shared" si="0"/>
        <v>18</v>
      </c>
      <c r="H6" s="8" t="s">
        <v>20</v>
      </c>
      <c r="I6" s="6" t="s">
        <v>22</v>
      </c>
    </row>
    <row r="7" spans="1:9" ht="19.5" customHeight="1" x14ac:dyDescent="0.25">
      <c r="A7" s="11" t="s">
        <v>29</v>
      </c>
      <c r="B7" s="12" t="s">
        <v>30</v>
      </c>
      <c r="C7" s="12" t="s">
        <v>126</v>
      </c>
      <c r="D7" s="13" t="s">
        <v>19</v>
      </c>
      <c r="E7" s="29">
        <v>43191</v>
      </c>
      <c r="F7" s="29">
        <v>43205</v>
      </c>
      <c r="G7" s="30">
        <f t="shared" si="0"/>
        <v>14</v>
      </c>
      <c r="H7" s="8" t="s">
        <v>20</v>
      </c>
      <c r="I7" s="12" t="s">
        <v>22</v>
      </c>
    </row>
    <row r="8" spans="1:9" ht="19.5" customHeight="1" x14ac:dyDescent="0.25">
      <c r="A8" s="5" t="s">
        <v>31</v>
      </c>
      <c r="B8" s="6" t="s">
        <v>32</v>
      </c>
      <c r="C8" s="6" t="s">
        <v>127</v>
      </c>
      <c r="D8" s="7" t="s">
        <v>19</v>
      </c>
      <c r="E8" s="27">
        <v>43282</v>
      </c>
      <c r="F8" s="27">
        <v>43296</v>
      </c>
      <c r="G8" s="28">
        <f t="shared" si="0"/>
        <v>14</v>
      </c>
      <c r="H8" s="8" t="s">
        <v>20</v>
      </c>
      <c r="I8" s="6" t="s">
        <v>22</v>
      </c>
    </row>
    <row r="9" spans="1:9" ht="19.5" customHeight="1" x14ac:dyDescent="0.25">
      <c r="A9" s="11" t="s">
        <v>33</v>
      </c>
      <c r="B9" s="12" t="s">
        <v>34</v>
      </c>
      <c r="C9" s="12" t="s">
        <v>128</v>
      </c>
      <c r="D9" s="13" t="s">
        <v>19</v>
      </c>
      <c r="E9" s="29">
        <v>42826</v>
      </c>
      <c r="F9" s="29">
        <v>42854</v>
      </c>
      <c r="G9" s="30">
        <f t="shared" si="0"/>
        <v>28</v>
      </c>
      <c r="H9" s="8" t="s">
        <v>20</v>
      </c>
      <c r="I9" s="12" t="s">
        <v>22</v>
      </c>
    </row>
    <row r="10" spans="1:9" ht="19.5" customHeight="1" x14ac:dyDescent="0.25">
      <c r="A10" s="5" t="s">
        <v>35</v>
      </c>
      <c r="B10" s="6" t="s">
        <v>35</v>
      </c>
      <c r="C10" s="6" t="s">
        <v>129</v>
      </c>
      <c r="D10" s="7" t="s">
        <v>19</v>
      </c>
      <c r="E10" s="27">
        <v>44317</v>
      </c>
      <c r="F10" s="27">
        <v>44345</v>
      </c>
      <c r="G10" s="28">
        <f t="shared" si="0"/>
        <v>28</v>
      </c>
      <c r="H10" s="8" t="s">
        <v>20</v>
      </c>
      <c r="I10" s="6" t="s">
        <v>22</v>
      </c>
    </row>
    <row r="11" spans="1:9" ht="19.5" customHeight="1" x14ac:dyDescent="0.25">
      <c r="A11" s="11" t="s">
        <v>38</v>
      </c>
      <c r="B11" s="12" t="s">
        <v>39</v>
      </c>
      <c r="C11" s="12" t="s">
        <v>124</v>
      </c>
      <c r="D11" s="13" t="s">
        <v>40</v>
      </c>
      <c r="E11" s="29">
        <v>45301</v>
      </c>
      <c r="F11" s="29">
        <v>45322</v>
      </c>
      <c r="G11" s="30">
        <f t="shared" si="0"/>
        <v>21</v>
      </c>
      <c r="H11" s="8" t="s">
        <v>20</v>
      </c>
      <c r="I11" s="12" t="s">
        <v>22</v>
      </c>
    </row>
    <row r="12" spans="1:9" ht="19.5" customHeight="1" x14ac:dyDescent="0.25">
      <c r="A12" s="5" t="s">
        <v>41</v>
      </c>
      <c r="B12" s="6" t="s">
        <v>42</v>
      </c>
      <c r="C12" s="6" t="s">
        <v>130</v>
      </c>
      <c r="D12" s="7" t="s">
        <v>19</v>
      </c>
      <c r="E12" s="27">
        <v>43475</v>
      </c>
      <c r="F12" s="27">
        <v>43489</v>
      </c>
      <c r="G12" s="28">
        <f t="shared" si="0"/>
        <v>14</v>
      </c>
      <c r="H12" s="8" t="s">
        <v>20</v>
      </c>
      <c r="I12" s="6" t="s">
        <v>22</v>
      </c>
    </row>
    <row r="13" spans="1:9" ht="19.5" customHeight="1" x14ac:dyDescent="0.25">
      <c r="A13" s="11" t="s">
        <v>43</v>
      </c>
      <c r="B13" s="12" t="s">
        <v>43</v>
      </c>
      <c r="C13" s="12" t="s">
        <v>131</v>
      </c>
      <c r="D13" s="13" t="s">
        <v>40</v>
      </c>
      <c r="E13" s="29">
        <v>43556</v>
      </c>
      <c r="F13" s="29">
        <v>43574</v>
      </c>
      <c r="G13" s="30">
        <f t="shared" si="0"/>
        <v>18</v>
      </c>
      <c r="H13" s="8" t="s">
        <v>20</v>
      </c>
      <c r="I13" s="12" t="s">
        <v>22</v>
      </c>
    </row>
    <row r="14" spans="1:9" ht="19.5" customHeight="1" x14ac:dyDescent="0.25">
      <c r="A14" s="5" t="s">
        <v>44</v>
      </c>
      <c r="B14" s="6" t="s">
        <v>45</v>
      </c>
      <c r="C14" s="6" t="s">
        <v>132</v>
      </c>
      <c r="D14" s="7" t="s">
        <v>19</v>
      </c>
      <c r="E14" s="27">
        <v>44409</v>
      </c>
      <c r="F14" s="27">
        <v>44430</v>
      </c>
      <c r="G14" s="28">
        <f t="shared" si="0"/>
        <v>21</v>
      </c>
      <c r="H14" s="8" t="s">
        <v>20</v>
      </c>
      <c r="I14" s="6" t="s">
        <v>22</v>
      </c>
    </row>
    <row r="15" spans="1:9" ht="19.5" customHeight="1" x14ac:dyDescent="0.25">
      <c r="A15" s="11" t="s">
        <v>46</v>
      </c>
      <c r="B15" s="12" t="s">
        <v>47</v>
      </c>
      <c r="C15" s="12" t="s">
        <v>133</v>
      </c>
      <c r="D15" s="13" t="s">
        <v>40</v>
      </c>
      <c r="E15" s="29">
        <v>45383</v>
      </c>
      <c r="F15" s="29">
        <v>45397</v>
      </c>
      <c r="G15" s="30">
        <f t="shared" si="0"/>
        <v>14</v>
      </c>
      <c r="H15" s="8" t="s">
        <v>20</v>
      </c>
      <c r="I15" s="12" t="s">
        <v>22</v>
      </c>
    </row>
    <row r="16" spans="1:9" ht="19.5" customHeight="1" x14ac:dyDescent="0.25">
      <c r="A16" s="5" t="s">
        <v>48</v>
      </c>
      <c r="B16" s="6" t="s">
        <v>49</v>
      </c>
      <c r="C16" s="6" t="s">
        <v>134</v>
      </c>
      <c r="D16" s="7" t="s">
        <v>19</v>
      </c>
      <c r="E16" s="27">
        <v>44571</v>
      </c>
      <c r="F16" s="27">
        <v>44589</v>
      </c>
      <c r="G16" s="28">
        <f t="shared" si="0"/>
        <v>18</v>
      </c>
      <c r="H16" s="8" t="s">
        <v>20</v>
      </c>
      <c r="I16" s="6" t="s">
        <v>22</v>
      </c>
    </row>
    <row r="17" spans="1:9" ht="19.5" customHeight="1" x14ac:dyDescent="0.25">
      <c r="A17" s="11" t="s">
        <v>50</v>
      </c>
      <c r="B17" s="12" t="s">
        <v>51</v>
      </c>
      <c r="C17" s="12" t="s">
        <v>126</v>
      </c>
      <c r="D17" s="13" t="s">
        <v>19</v>
      </c>
      <c r="E17" s="29">
        <v>44652</v>
      </c>
      <c r="F17" s="29">
        <v>44673</v>
      </c>
      <c r="G17" s="30">
        <f t="shared" si="0"/>
        <v>21</v>
      </c>
      <c r="H17" s="8" t="s">
        <v>20</v>
      </c>
      <c r="I17" s="12" t="s">
        <v>22</v>
      </c>
    </row>
    <row r="18" spans="1:9" ht="19.5" customHeight="1" x14ac:dyDescent="0.25">
      <c r="A18" s="5" t="s">
        <v>52</v>
      </c>
      <c r="B18" s="6" t="s">
        <v>53</v>
      </c>
      <c r="C18" s="6" t="s">
        <v>124</v>
      </c>
      <c r="D18" s="7" t="s">
        <v>19</v>
      </c>
      <c r="E18" s="27">
        <v>44941</v>
      </c>
      <c r="F18" s="27">
        <v>44969</v>
      </c>
      <c r="G18" s="28">
        <f t="shared" si="0"/>
        <v>28</v>
      </c>
      <c r="H18" s="8" t="s">
        <v>20</v>
      </c>
      <c r="I18" s="6" t="s">
        <v>22</v>
      </c>
    </row>
    <row r="19" spans="1:9" ht="19.5" customHeight="1" x14ac:dyDescent="0.25">
      <c r="A19" s="11" t="s">
        <v>54</v>
      </c>
      <c r="B19" s="12" t="s">
        <v>49</v>
      </c>
      <c r="C19" s="12" t="s">
        <v>135</v>
      </c>
      <c r="D19" s="13" t="s">
        <v>19</v>
      </c>
      <c r="E19" s="29">
        <v>44743</v>
      </c>
      <c r="F19" s="29">
        <v>44761</v>
      </c>
      <c r="G19" s="30">
        <f t="shared" si="0"/>
        <v>18</v>
      </c>
      <c r="H19" s="8" t="s">
        <v>20</v>
      </c>
      <c r="I19" s="12" t="s">
        <v>22</v>
      </c>
    </row>
    <row r="20" spans="1:9" ht="19.5" customHeight="1" x14ac:dyDescent="0.25">
      <c r="A20" s="5" t="s">
        <v>55</v>
      </c>
      <c r="B20" s="6" t="s">
        <v>56</v>
      </c>
      <c r="C20" s="6" t="s">
        <v>126</v>
      </c>
      <c r="D20" s="7" t="s">
        <v>19</v>
      </c>
      <c r="E20" s="27">
        <v>45047</v>
      </c>
      <c r="F20" s="27">
        <v>45061</v>
      </c>
      <c r="G20" s="28">
        <f t="shared" si="0"/>
        <v>14</v>
      </c>
      <c r="H20" s="8" t="s">
        <v>20</v>
      </c>
      <c r="I20" s="6" t="s">
        <v>22</v>
      </c>
    </row>
    <row r="21" spans="1:9" ht="19.5" customHeight="1" x14ac:dyDescent="0.25">
      <c r="A21" s="11" t="s">
        <v>57</v>
      </c>
      <c r="B21" s="12" t="s">
        <v>58</v>
      </c>
      <c r="C21" s="12" t="s">
        <v>126</v>
      </c>
      <c r="D21" s="13" t="s">
        <v>19</v>
      </c>
      <c r="E21" s="29">
        <v>43661</v>
      </c>
      <c r="F21" s="29">
        <v>43679</v>
      </c>
      <c r="G21" s="30">
        <f t="shared" si="0"/>
        <v>18</v>
      </c>
      <c r="H21" s="8" t="s">
        <v>20</v>
      </c>
      <c r="I21" s="12" t="s">
        <v>22</v>
      </c>
    </row>
    <row r="22" spans="1:9" ht="19.5" customHeight="1" x14ac:dyDescent="0.25">
      <c r="A22" s="5" t="s">
        <v>59</v>
      </c>
      <c r="B22" s="6" t="s">
        <v>60</v>
      </c>
      <c r="C22" s="6" t="s">
        <v>126</v>
      </c>
      <c r="D22" s="7" t="s">
        <v>19</v>
      </c>
      <c r="E22" s="27">
        <v>43678</v>
      </c>
      <c r="F22" s="27">
        <v>43692</v>
      </c>
      <c r="G22" s="28">
        <f t="shared" si="0"/>
        <v>14</v>
      </c>
      <c r="H22" s="8" t="s">
        <v>20</v>
      </c>
      <c r="I22" s="6" t="s">
        <v>22</v>
      </c>
    </row>
    <row r="23" spans="1:9" ht="19.5" customHeight="1" x14ac:dyDescent="0.25">
      <c r="A23" s="11" t="s">
        <v>61</v>
      </c>
      <c r="B23" s="12" t="s">
        <v>62</v>
      </c>
      <c r="C23" s="12" t="s">
        <v>126</v>
      </c>
      <c r="D23" s="13" t="s">
        <v>19</v>
      </c>
      <c r="E23" s="29">
        <v>43739</v>
      </c>
      <c r="F23" s="29">
        <v>43753</v>
      </c>
      <c r="G23" s="30">
        <f t="shared" si="0"/>
        <v>14</v>
      </c>
      <c r="H23" s="8" t="s">
        <v>20</v>
      </c>
      <c r="I23" s="12" t="s">
        <v>22</v>
      </c>
    </row>
    <row r="24" spans="1:9" ht="19.5" customHeight="1" x14ac:dyDescent="0.25">
      <c r="A24" s="5" t="s">
        <v>63</v>
      </c>
      <c r="B24" s="6" t="s">
        <v>64</v>
      </c>
      <c r="C24" s="6" t="s">
        <v>136</v>
      </c>
      <c r="D24" s="7" t="s">
        <v>40</v>
      </c>
      <c r="E24" s="27">
        <v>45672</v>
      </c>
      <c r="F24" s="27">
        <v>45693</v>
      </c>
      <c r="G24" s="28">
        <f t="shared" si="0"/>
        <v>21</v>
      </c>
      <c r="H24" s="8" t="s">
        <v>20</v>
      </c>
      <c r="I24" s="6" t="s">
        <v>22</v>
      </c>
    </row>
    <row r="25" spans="1:9" ht="19.5" customHeight="1" x14ac:dyDescent="0.25">
      <c r="A25" s="11" t="s">
        <v>65</v>
      </c>
      <c r="B25" s="12" t="s">
        <v>66</v>
      </c>
      <c r="C25" s="12" t="s">
        <v>137</v>
      </c>
      <c r="D25" s="13" t="s">
        <v>40</v>
      </c>
      <c r="E25" s="29">
        <v>45474</v>
      </c>
      <c r="F25" s="29">
        <v>45495</v>
      </c>
      <c r="G25" s="30">
        <f t="shared" si="0"/>
        <v>21</v>
      </c>
      <c r="H25" s="8" t="s">
        <v>20</v>
      </c>
      <c r="I25" s="12" t="s">
        <v>22</v>
      </c>
    </row>
    <row r="26" spans="1:9" ht="19.5" customHeight="1" x14ac:dyDescent="0.25">
      <c r="A26" s="5" t="s">
        <v>67</v>
      </c>
      <c r="B26" s="6" t="s">
        <v>68</v>
      </c>
      <c r="C26" s="6" t="s">
        <v>138</v>
      </c>
      <c r="D26" s="7" t="s">
        <v>69</v>
      </c>
      <c r="E26" s="27">
        <v>46113</v>
      </c>
      <c r="F26" s="27">
        <v>46203</v>
      </c>
      <c r="G26" s="28"/>
      <c r="H26" s="18" t="s">
        <v>70</v>
      </c>
      <c r="I26" t="s">
        <v>269</v>
      </c>
    </row>
    <row r="27" spans="1:9" ht="28.5" customHeight="1" x14ac:dyDescent="0.25">
      <c r="A27" s="11" t="s">
        <v>71</v>
      </c>
      <c r="B27" s="12" t="s">
        <v>72</v>
      </c>
      <c r="C27" s="12" t="s">
        <v>139</v>
      </c>
      <c r="D27" s="13" t="s">
        <v>69</v>
      </c>
      <c r="E27" s="29">
        <v>46113</v>
      </c>
      <c r="F27" s="29">
        <v>46203</v>
      </c>
      <c r="G27" s="30"/>
      <c r="H27" s="18" t="s">
        <v>70</v>
      </c>
      <c r="I27" s="12" t="s">
        <v>268</v>
      </c>
    </row>
    <row r="28" spans="1:9" ht="19.5" customHeight="1" x14ac:dyDescent="0.25">
      <c r="A28" s="5" t="s">
        <v>74</v>
      </c>
      <c r="B28" s="6" t="s">
        <v>75</v>
      </c>
      <c r="C28" s="6" t="s">
        <v>140</v>
      </c>
      <c r="D28" s="7" t="s">
        <v>69</v>
      </c>
      <c r="E28" s="27">
        <v>46113</v>
      </c>
      <c r="F28" s="27">
        <v>46203</v>
      </c>
      <c r="G28" s="28"/>
      <c r="H28" s="18" t="s">
        <v>69</v>
      </c>
      <c r="I28" t="s">
        <v>270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8"/>
  <sheetViews>
    <sheetView zoomScaleNormal="100" workbookViewId="0">
      <pane ySplit="3" topLeftCell="A10" activePane="bottomLeft" state="frozen"/>
      <selection pane="bottomLeft" activeCell="J28" sqref="J28"/>
    </sheetView>
  </sheetViews>
  <sheetFormatPr defaultColWidth="8.7109375" defaultRowHeight="15" x14ac:dyDescent="0.25"/>
  <cols>
    <col min="1" max="1" width="58.140625" bestFit="1" customWidth="1"/>
    <col min="2" max="2" width="17" bestFit="1" customWidth="1"/>
    <col min="3" max="3" width="21.42578125" bestFit="1" customWidth="1"/>
    <col min="4" max="4" width="13.85546875" bestFit="1" customWidth="1"/>
    <col min="5" max="5" width="10.28515625" bestFit="1" customWidth="1"/>
    <col min="6" max="6" width="9.5703125" bestFit="1" customWidth="1"/>
    <col min="7" max="7" width="7.5703125" bestFit="1" customWidth="1"/>
    <col min="8" max="8" width="9.7109375" bestFit="1" customWidth="1"/>
    <col min="9" max="9" width="10" bestFit="1" customWidth="1"/>
    <col min="10" max="10" width="10.140625" bestFit="1" customWidth="1"/>
  </cols>
  <sheetData>
    <row r="1" spans="1:10" ht="25.5" customHeight="1" x14ac:dyDescent="0.25">
      <c r="A1" s="1" t="s">
        <v>141</v>
      </c>
    </row>
    <row r="2" spans="1:10" ht="15" customHeight="1" x14ac:dyDescent="0.25">
      <c r="A2" s="2" t="s">
        <v>142</v>
      </c>
    </row>
    <row r="3" spans="1:10" ht="36" customHeight="1" x14ac:dyDescent="0.25">
      <c r="A3" s="4" t="s">
        <v>6</v>
      </c>
      <c r="B3" s="4" t="s">
        <v>7</v>
      </c>
      <c r="C3" s="4" t="s">
        <v>143</v>
      </c>
      <c r="D3" s="4" t="s">
        <v>144</v>
      </c>
      <c r="E3" s="4" t="s">
        <v>145</v>
      </c>
      <c r="F3" s="4" t="s">
        <v>146</v>
      </c>
      <c r="G3" s="4" t="s">
        <v>147</v>
      </c>
      <c r="H3" s="4" t="s">
        <v>148</v>
      </c>
      <c r="I3" s="4" t="s">
        <v>149</v>
      </c>
      <c r="J3" s="4" t="s">
        <v>150</v>
      </c>
    </row>
    <row r="4" spans="1:10" ht="19.5" customHeight="1" x14ac:dyDescent="0.25">
      <c r="A4" s="5" t="s">
        <v>17</v>
      </c>
      <c r="B4" s="6" t="s">
        <v>18</v>
      </c>
      <c r="C4" s="7" t="s">
        <v>151</v>
      </c>
      <c r="D4" s="18" t="s">
        <v>152</v>
      </c>
      <c r="E4" s="22" t="s">
        <v>153</v>
      </c>
      <c r="F4" s="31" t="s">
        <v>154</v>
      </c>
      <c r="G4" s="31" t="s">
        <v>154</v>
      </c>
      <c r="H4" s="31" t="s">
        <v>154</v>
      </c>
      <c r="I4" s="32" t="s">
        <v>153</v>
      </c>
      <c r="J4" s="33">
        <f t="shared" ref="J4:J25" si="0">COUNTIF(E4:I4,"Yes")+COUNTIF(E4:I4,"Partial")*0.5</f>
        <v>3</v>
      </c>
    </row>
    <row r="5" spans="1:10" ht="19.5" customHeight="1" x14ac:dyDescent="0.25">
      <c r="A5" s="11" t="s">
        <v>23</v>
      </c>
      <c r="B5" s="12" t="s">
        <v>24</v>
      </c>
      <c r="C5" s="13" t="s">
        <v>155</v>
      </c>
      <c r="D5" s="8" t="s">
        <v>156</v>
      </c>
      <c r="E5" s="14" t="s">
        <v>157</v>
      </c>
      <c r="F5" s="34" t="s">
        <v>154</v>
      </c>
      <c r="G5" s="34" t="s">
        <v>154</v>
      </c>
      <c r="H5" s="34" t="s">
        <v>154</v>
      </c>
      <c r="I5" s="34" t="s">
        <v>154</v>
      </c>
      <c r="J5" s="35">
        <f t="shared" si="0"/>
        <v>4.5</v>
      </c>
    </row>
    <row r="6" spans="1:10" ht="19.5" customHeight="1" x14ac:dyDescent="0.25">
      <c r="A6" s="5" t="s">
        <v>27</v>
      </c>
      <c r="B6" s="6" t="s">
        <v>28</v>
      </c>
      <c r="C6" s="7" t="s">
        <v>158</v>
      </c>
      <c r="D6" s="18" t="s">
        <v>152</v>
      </c>
      <c r="E6" s="22" t="s">
        <v>153</v>
      </c>
      <c r="F6" s="31" t="s">
        <v>154</v>
      </c>
      <c r="G6" s="31" t="s">
        <v>154</v>
      </c>
      <c r="H6" s="31" t="s">
        <v>154</v>
      </c>
      <c r="I6" s="32" t="s">
        <v>153</v>
      </c>
      <c r="J6" s="33">
        <f t="shared" si="0"/>
        <v>3</v>
      </c>
    </row>
    <row r="7" spans="1:10" ht="19.5" customHeight="1" x14ac:dyDescent="0.25">
      <c r="A7" s="11" t="s">
        <v>29</v>
      </c>
      <c r="B7" s="12" t="s">
        <v>30</v>
      </c>
      <c r="C7" s="13" t="s">
        <v>158</v>
      </c>
      <c r="D7" s="18" t="s">
        <v>152</v>
      </c>
      <c r="E7" s="22" t="s">
        <v>153</v>
      </c>
      <c r="F7" s="34" t="s">
        <v>154</v>
      </c>
      <c r="G7" s="34" t="s">
        <v>154</v>
      </c>
      <c r="H7" s="36" t="s">
        <v>153</v>
      </c>
      <c r="I7" s="36" t="s">
        <v>153</v>
      </c>
      <c r="J7" s="35">
        <f t="shared" si="0"/>
        <v>2</v>
      </c>
    </row>
    <row r="8" spans="1:10" ht="19.5" customHeight="1" x14ac:dyDescent="0.25">
      <c r="A8" s="5" t="s">
        <v>31</v>
      </c>
      <c r="B8" s="6" t="s">
        <v>32</v>
      </c>
      <c r="C8" s="7" t="s">
        <v>158</v>
      </c>
      <c r="D8" s="18" t="s">
        <v>152</v>
      </c>
      <c r="E8" s="22" t="s">
        <v>153</v>
      </c>
      <c r="F8" s="31" t="s">
        <v>154</v>
      </c>
      <c r="G8" s="31" t="s">
        <v>154</v>
      </c>
      <c r="H8" s="32" t="s">
        <v>153</v>
      </c>
      <c r="I8" s="32" t="s">
        <v>153</v>
      </c>
      <c r="J8" s="33">
        <f t="shared" si="0"/>
        <v>2</v>
      </c>
    </row>
    <row r="9" spans="1:10" ht="19.5" customHeight="1" x14ac:dyDescent="0.25">
      <c r="A9" s="11" t="s">
        <v>33</v>
      </c>
      <c r="B9" s="12" t="s">
        <v>34</v>
      </c>
      <c r="C9" s="13" t="s">
        <v>158</v>
      </c>
      <c r="D9" s="18" t="s">
        <v>152</v>
      </c>
      <c r="E9" s="22" t="s">
        <v>153</v>
      </c>
      <c r="F9" s="34" t="s">
        <v>154</v>
      </c>
      <c r="G9" s="34" t="s">
        <v>154</v>
      </c>
      <c r="H9" s="36" t="s">
        <v>153</v>
      </c>
      <c r="I9" s="36" t="s">
        <v>153</v>
      </c>
      <c r="J9" s="35">
        <f t="shared" si="0"/>
        <v>2</v>
      </c>
    </row>
    <row r="10" spans="1:10" ht="19.5" customHeight="1" x14ac:dyDescent="0.25">
      <c r="A10" s="5" t="s">
        <v>35</v>
      </c>
      <c r="B10" s="6" t="s">
        <v>35</v>
      </c>
      <c r="C10" s="7" t="s">
        <v>159</v>
      </c>
      <c r="D10" s="18" t="s">
        <v>152</v>
      </c>
      <c r="E10" s="22" t="s">
        <v>153</v>
      </c>
      <c r="F10" s="31" t="s">
        <v>154</v>
      </c>
      <c r="G10" s="31" t="s">
        <v>154</v>
      </c>
      <c r="H10" s="32" t="s">
        <v>153</v>
      </c>
      <c r="I10" s="32" t="s">
        <v>153</v>
      </c>
      <c r="J10" s="33">
        <f t="shared" si="0"/>
        <v>2</v>
      </c>
    </row>
    <row r="11" spans="1:10" ht="19.5" customHeight="1" x14ac:dyDescent="0.25">
      <c r="A11" s="11" t="s">
        <v>38</v>
      </c>
      <c r="B11" s="12" t="s">
        <v>39</v>
      </c>
      <c r="C11" s="13" t="s">
        <v>158</v>
      </c>
      <c r="D11" s="18" t="s">
        <v>152</v>
      </c>
      <c r="E11" s="22" t="s">
        <v>153</v>
      </c>
      <c r="F11" s="34" t="s">
        <v>154</v>
      </c>
      <c r="G11" s="34" t="s">
        <v>154</v>
      </c>
      <c r="H11" s="34" t="s">
        <v>154</v>
      </c>
      <c r="I11" s="36" t="s">
        <v>153</v>
      </c>
      <c r="J11" s="35">
        <f t="shared" si="0"/>
        <v>3</v>
      </c>
    </row>
    <row r="12" spans="1:10" ht="19.5" customHeight="1" x14ac:dyDescent="0.25">
      <c r="A12" s="5" t="s">
        <v>41</v>
      </c>
      <c r="B12" s="6" t="s">
        <v>42</v>
      </c>
      <c r="C12" s="7" t="s">
        <v>158</v>
      </c>
      <c r="D12" s="18" t="s">
        <v>152</v>
      </c>
      <c r="E12" s="22" t="s">
        <v>153</v>
      </c>
      <c r="F12" s="31" t="s">
        <v>154</v>
      </c>
      <c r="G12" s="31" t="s">
        <v>154</v>
      </c>
      <c r="H12" s="32" t="s">
        <v>153</v>
      </c>
      <c r="I12" s="32" t="s">
        <v>153</v>
      </c>
      <c r="J12" s="33">
        <f t="shared" si="0"/>
        <v>2</v>
      </c>
    </row>
    <row r="13" spans="1:10" ht="19.5" customHeight="1" x14ac:dyDescent="0.25">
      <c r="A13" s="11" t="s">
        <v>43</v>
      </c>
      <c r="B13" s="12" t="s">
        <v>43</v>
      </c>
      <c r="C13" s="13" t="s">
        <v>158</v>
      </c>
      <c r="D13" s="18" t="s">
        <v>152</v>
      </c>
      <c r="E13" s="22" t="s">
        <v>153</v>
      </c>
      <c r="F13" s="34" t="s">
        <v>154</v>
      </c>
      <c r="G13" s="34" t="s">
        <v>154</v>
      </c>
      <c r="H13" s="36" t="s">
        <v>153</v>
      </c>
      <c r="I13" s="36" t="s">
        <v>153</v>
      </c>
      <c r="J13" s="35">
        <f t="shared" si="0"/>
        <v>2</v>
      </c>
    </row>
    <row r="14" spans="1:10" ht="19.5" customHeight="1" x14ac:dyDescent="0.25">
      <c r="A14" s="5" t="s">
        <v>44</v>
      </c>
      <c r="B14" s="6" t="s">
        <v>45</v>
      </c>
      <c r="C14" s="7" t="s">
        <v>160</v>
      </c>
      <c r="D14" s="18" t="s">
        <v>152</v>
      </c>
      <c r="E14" s="22" t="s">
        <v>153</v>
      </c>
      <c r="F14" s="31" t="s">
        <v>154</v>
      </c>
      <c r="G14" s="31" t="s">
        <v>154</v>
      </c>
      <c r="H14" s="31" t="s">
        <v>154</v>
      </c>
      <c r="I14" s="32" t="s">
        <v>153</v>
      </c>
      <c r="J14" s="33">
        <f t="shared" si="0"/>
        <v>3</v>
      </c>
    </row>
    <row r="15" spans="1:10" ht="19.5" customHeight="1" x14ac:dyDescent="0.25">
      <c r="A15" s="11" t="s">
        <v>46</v>
      </c>
      <c r="B15" s="12" t="s">
        <v>47</v>
      </c>
      <c r="C15" s="13" t="s">
        <v>158</v>
      </c>
      <c r="D15" s="18" t="s">
        <v>152</v>
      </c>
      <c r="E15" s="22" t="s">
        <v>153</v>
      </c>
      <c r="F15" s="34" t="s">
        <v>154</v>
      </c>
      <c r="G15" s="34" t="s">
        <v>154</v>
      </c>
      <c r="H15" s="36" t="s">
        <v>153</v>
      </c>
      <c r="I15" s="36" t="s">
        <v>153</v>
      </c>
      <c r="J15" s="35">
        <f t="shared" si="0"/>
        <v>2</v>
      </c>
    </row>
    <row r="16" spans="1:10" ht="19.5" customHeight="1" x14ac:dyDescent="0.25">
      <c r="A16" s="5" t="s">
        <v>48</v>
      </c>
      <c r="B16" s="6" t="s">
        <v>49</v>
      </c>
      <c r="C16" s="7" t="s">
        <v>158</v>
      </c>
      <c r="D16" s="18" t="s">
        <v>152</v>
      </c>
      <c r="E16" s="22" t="s">
        <v>153</v>
      </c>
      <c r="F16" s="31" t="s">
        <v>154</v>
      </c>
      <c r="G16" s="31" t="s">
        <v>154</v>
      </c>
      <c r="H16" s="32" t="s">
        <v>153</v>
      </c>
      <c r="I16" s="32" t="s">
        <v>153</v>
      </c>
      <c r="J16" s="33">
        <f t="shared" si="0"/>
        <v>2</v>
      </c>
    </row>
    <row r="17" spans="1:10" ht="19.5" customHeight="1" x14ac:dyDescent="0.25">
      <c r="A17" s="11" t="s">
        <v>50</v>
      </c>
      <c r="B17" s="12" t="s">
        <v>51</v>
      </c>
      <c r="C17" s="13" t="s">
        <v>160</v>
      </c>
      <c r="D17" s="18" t="s">
        <v>152</v>
      </c>
      <c r="E17" s="22" t="s">
        <v>153</v>
      </c>
      <c r="F17" s="34" t="s">
        <v>154</v>
      </c>
      <c r="G17" s="34" t="s">
        <v>154</v>
      </c>
      <c r="H17" s="34" t="s">
        <v>154</v>
      </c>
      <c r="I17" s="36" t="s">
        <v>153</v>
      </c>
      <c r="J17" s="35">
        <f t="shared" si="0"/>
        <v>3</v>
      </c>
    </row>
    <row r="18" spans="1:10" ht="19.5" customHeight="1" x14ac:dyDescent="0.25">
      <c r="A18" s="5" t="s">
        <v>52</v>
      </c>
      <c r="B18" s="6" t="s">
        <v>53</v>
      </c>
      <c r="C18" s="7" t="s">
        <v>160</v>
      </c>
      <c r="D18" s="8" t="s">
        <v>156</v>
      </c>
      <c r="E18" s="8" t="s">
        <v>154</v>
      </c>
      <c r="F18" s="31" t="s">
        <v>154</v>
      </c>
      <c r="G18" s="31" t="s">
        <v>154</v>
      </c>
      <c r="H18" s="31" t="s">
        <v>154</v>
      </c>
      <c r="I18" s="31" t="s">
        <v>154</v>
      </c>
      <c r="J18" s="33">
        <f t="shared" si="0"/>
        <v>5</v>
      </c>
    </row>
    <row r="19" spans="1:10" ht="19.5" customHeight="1" x14ac:dyDescent="0.25">
      <c r="A19" s="11" t="s">
        <v>54</v>
      </c>
      <c r="B19" s="12" t="s">
        <v>49</v>
      </c>
      <c r="C19" s="13" t="s">
        <v>158</v>
      </c>
      <c r="D19" s="18" t="s">
        <v>152</v>
      </c>
      <c r="E19" s="22" t="s">
        <v>153</v>
      </c>
      <c r="F19" s="34" t="s">
        <v>154</v>
      </c>
      <c r="G19" s="34" t="s">
        <v>154</v>
      </c>
      <c r="H19" s="36" t="s">
        <v>153</v>
      </c>
      <c r="I19" s="36" t="s">
        <v>153</v>
      </c>
      <c r="J19" s="35">
        <f t="shared" si="0"/>
        <v>2</v>
      </c>
    </row>
    <row r="20" spans="1:10" ht="19.5" customHeight="1" x14ac:dyDescent="0.25">
      <c r="A20" s="5" t="s">
        <v>55</v>
      </c>
      <c r="B20" s="6" t="s">
        <v>56</v>
      </c>
      <c r="C20" s="7" t="s">
        <v>160</v>
      </c>
      <c r="D20" s="18" t="s">
        <v>152</v>
      </c>
      <c r="E20" s="8" t="s">
        <v>154</v>
      </c>
      <c r="F20" s="31" t="s">
        <v>154</v>
      </c>
      <c r="G20" s="31" t="s">
        <v>154</v>
      </c>
      <c r="H20" s="32" t="s">
        <v>153</v>
      </c>
      <c r="I20" s="32" t="s">
        <v>153</v>
      </c>
      <c r="J20" s="33">
        <f t="shared" si="0"/>
        <v>3</v>
      </c>
    </row>
    <row r="21" spans="1:10" ht="19.5" customHeight="1" x14ac:dyDescent="0.25">
      <c r="A21" s="11" t="s">
        <v>57</v>
      </c>
      <c r="B21" s="12" t="s">
        <v>58</v>
      </c>
      <c r="C21" s="13" t="s">
        <v>160</v>
      </c>
      <c r="D21" s="18" t="s">
        <v>152</v>
      </c>
      <c r="E21" s="22" t="s">
        <v>153</v>
      </c>
      <c r="F21" s="34" t="s">
        <v>154</v>
      </c>
      <c r="G21" s="34" t="s">
        <v>154</v>
      </c>
      <c r="H21" s="36" t="s">
        <v>153</v>
      </c>
      <c r="I21" s="36" t="s">
        <v>153</v>
      </c>
      <c r="J21" s="35">
        <f t="shared" si="0"/>
        <v>2</v>
      </c>
    </row>
    <row r="22" spans="1:10" ht="19.5" customHeight="1" x14ac:dyDescent="0.25">
      <c r="A22" s="5" t="s">
        <v>59</v>
      </c>
      <c r="B22" s="6" t="s">
        <v>60</v>
      </c>
      <c r="C22" s="7" t="s">
        <v>160</v>
      </c>
      <c r="D22" s="18" t="s">
        <v>152</v>
      </c>
      <c r="E22" s="22" t="s">
        <v>153</v>
      </c>
      <c r="F22" s="31" t="s">
        <v>154</v>
      </c>
      <c r="G22" s="31" t="s">
        <v>154</v>
      </c>
      <c r="H22" s="32" t="s">
        <v>153</v>
      </c>
      <c r="I22" s="32" t="s">
        <v>153</v>
      </c>
      <c r="J22" s="33">
        <f t="shared" si="0"/>
        <v>2</v>
      </c>
    </row>
    <row r="23" spans="1:10" ht="19.5" customHeight="1" x14ac:dyDescent="0.25">
      <c r="A23" s="11" t="s">
        <v>61</v>
      </c>
      <c r="B23" s="12" t="s">
        <v>62</v>
      </c>
      <c r="C23" s="13" t="s">
        <v>158</v>
      </c>
      <c r="D23" s="18" t="s">
        <v>152</v>
      </c>
      <c r="E23" s="22" t="s">
        <v>153</v>
      </c>
      <c r="F23" s="34" t="s">
        <v>154</v>
      </c>
      <c r="G23" s="34" t="s">
        <v>154</v>
      </c>
      <c r="H23" s="36" t="s">
        <v>153</v>
      </c>
      <c r="I23" s="36" t="s">
        <v>153</v>
      </c>
      <c r="J23" s="35">
        <f t="shared" si="0"/>
        <v>2</v>
      </c>
    </row>
    <row r="24" spans="1:10" ht="19.5" customHeight="1" x14ac:dyDescent="0.25">
      <c r="A24" s="5" t="s">
        <v>63</v>
      </c>
      <c r="B24" s="6" t="s">
        <v>64</v>
      </c>
      <c r="C24" s="7" t="s">
        <v>160</v>
      </c>
      <c r="D24" s="18" t="s">
        <v>152</v>
      </c>
      <c r="E24" s="22" t="s">
        <v>153</v>
      </c>
      <c r="F24" s="31" t="s">
        <v>154</v>
      </c>
      <c r="G24" s="31" t="s">
        <v>154</v>
      </c>
      <c r="H24" s="31" t="s">
        <v>154</v>
      </c>
      <c r="I24" s="32" t="s">
        <v>153</v>
      </c>
      <c r="J24" s="33">
        <f t="shared" si="0"/>
        <v>3</v>
      </c>
    </row>
    <row r="25" spans="1:10" ht="19.5" customHeight="1" x14ac:dyDescent="0.25">
      <c r="A25" s="11" t="s">
        <v>65</v>
      </c>
      <c r="B25" s="12" t="s">
        <v>66</v>
      </c>
      <c r="C25" s="13" t="s">
        <v>160</v>
      </c>
      <c r="D25" s="18" t="s">
        <v>152</v>
      </c>
      <c r="E25" s="22" t="s">
        <v>153</v>
      </c>
      <c r="F25" s="34" t="s">
        <v>154</v>
      </c>
      <c r="G25" s="34" t="s">
        <v>154</v>
      </c>
      <c r="H25" s="34" t="s">
        <v>154</v>
      </c>
      <c r="I25" s="36" t="s">
        <v>153</v>
      </c>
      <c r="J25" s="35">
        <f t="shared" si="0"/>
        <v>3</v>
      </c>
    </row>
    <row r="26" spans="1:10" ht="19.5" customHeight="1" x14ac:dyDescent="0.25">
      <c r="A26" s="6" t="s">
        <v>67</v>
      </c>
      <c r="B26" s="6" t="s">
        <v>68</v>
      </c>
      <c r="C26" s="7" t="s">
        <v>161</v>
      </c>
      <c r="D26" s="8" t="s">
        <v>156</v>
      </c>
      <c r="E26" s="14" t="s">
        <v>157</v>
      </c>
      <c r="F26" s="31" t="s">
        <v>154</v>
      </c>
      <c r="G26" s="31" t="s">
        <v>154</v>
      </c>
      <c r="H26" s="31" t="s">
        <v>154</v>
      </c>
      <c r="I26" s="32" t="s">
        <v>153</v>
      </c>
      <c r="J26" s="18" t="s">
        <v>162</v>
      </c>
    </row>
    <row r="27" spans="1:10" ht="19.5" customHeight="1" x14ac:dyDescent="0.25">
      <c r="A27" s="12" t="s">
        <v>71</v>
      </c>
      <c r="B27" s="12" t="s">
        <v>72</v>
      </c>
      <c r="C27" s="13" t="s">
        <v>161</v>
      </c>
      <c r="D27" s="18" t="s">
        <v>152</v>
      </c>
      <c r="E27" s="22" t="s">
        <v>153</v>
      </c>
      <c r="F27" s="34" t="s">
        <v>154</v>
      </c>
      <c r="G27" s="34" t="s">
        <v>154</v>
      </c>
      <c r="H27" s="36" t="s">
        <v>153</v>
      </c>
      <c r="I27" s="36" t="s">
        <v>153</v>
      </c>
      <c r="J27" s="18" t="s">
        <v>162</v>
      </c>
    </row>
    <row r="28" spans="1:10" ht="19.5" customHeight="1" x14ac:dyDescent="0.25">
      <c r="A28" s="6" t="s">
        <v>74</v>
      </c>
      <c r="B28" s="6" t="s">
        <v>75</v>
      </c>
      <c r="C28" s="7" t="s">
        <v>161</v>
      </c>
      <c r="D28" s="8" t="s">
        <v>156</v>
      </c>
      <c r="E28" s="14" t="s">
        <v>157</v>
      </c>
      <c r="F28" s="31" t="s">
        <v>154</v>
      </c>
      <c r="G28" s="31" t="s">
        <v>154</v>
      </c>
      <c r="H28" s="31" t="s">
        <v>154</v>
      </c>
      <c r="I28" s="32" t="s">
        <v>153</v>
      </c>
      <c r="J28" s="18" t="s">
        <v>69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5"/>
  <sheetViews>
    <sheetView tabSelected="1" zoomScaleNormal="100" workbookViewId="0">
      <pane ySplit="4" topLeftCell="A5" activePane="bottomLeft" state="frozen"/>
      <selection pane="bottomLeft" activeCell="A27" sqref="A27"/>
    </sheetView>
  </sheetViews>
  <sheetFormatPr defaultColWidth="8.7109375" defaultRowHeight="15" x14ac:dyDescent="0.25"/>
  <cols>
    <col min="1" max="1" width="99.7109375" bestFit="1" customWidth="1"/>
    <col min="2" max="2" width="16.7109375" bestFit="1" customWidth="1"/>
    <col min="3" max="3" width="17.28515625" bestFit="1" customWidth="1"/>
    <col min="4" max="4" width="8.42578125" bestFit="1" customWidth="1"/>
    <col min="5" max="5" width="20.5703125" bestFit="1" customWidth="1"/>
    <col min="6" max="6" width="10.42578125" bestFit="1" customWidth="1"/>
    <col min="7" max="7" width="186.85546875" bestFit="1" customWidth="1"/>
  </cols>
  <sheetData>
    <row r="1" spans="1:7" ht="25.5" customHeight="1" x14ac:dyDescent="0.25">
      <c r="A1" s="1" t="s">
        <v>163</v>
      </c>
    </row>
    <row r="2" spans="1:7" ht="15" customHeight="1" x14ac:dyDescent="0.25">
      <c r="A2" s="2" t="s">
        <v>164</v>
      </c>
    </row>
    <row r="3" spans="1:7" ht="30" customHeight="1" x14ac:dyDescent="0.25">
      <c r="A3" s="4" t="s">
        <v>6</v>
      </c>
      <c r="B3" s="4" t="s">
        <v>7</v>
      </c>
      <c r="C3" s="4" t="s">
        <v>165</v>
      </c>
      <c r="D3" s="4" t="s">
        <v>166</v>
      </c>
      <c r="E3" s="4" t="s">
        <v>167</v>
      </c>
      <c r="F3" s="4" t="s">
        <v>168</v>
      </c>
      <c r="G3" s="4" t="s">
        <v>123</v>
      </c>
    </row>
    <row r="4" spans="1:7" ht="63" customHeight="1" x14ac:dyDescent="0.25">
      <c r="A4" s="6" t="s">
        <v>96</v>
      </c>
      <c r="B4" s="6" t="s">
        <v>97</v>
      </c>
      <c r="C4" s="6" t="s">
        <v>169</v>
      </c>
      <c r="D4" s="6" t="s">
        <v>25</v>
      </c>
      <c r="E4" s="6" t="s">
        <v>98</v>
      </c>
      <c r="F4" s="6" t="s">
        <v>101</v>
      </c>
      <c r="G4" s="48" t="s">
        <v>258</v>
      </c>
    </row>
    <row r="5" spans="1:7" ht="18" customHeight="1" x14ac:dyDescent="0.25">
      <c r="A5" s="12" t="s">
        <v>102</v>
      </c>
      <c r="B5" s="12" t="s">
        <v>103</v>
      </c>
      <c r="C5" s="12" t="s">
        <v>170</v>
      </c>
      <c r="D5" s="12" t="s">
        <v>36</v>
      </c>
      <c r="E5" s="12" t="s">
        <v>171</v>
      </c>
      <c r="F5" s="12" t="s">
        <v>101</v>
      </c>
      <c r="G5" t="s">
        <v>259</v>
      </c>
    </row>
    <row r="6" spans="1:7" ht="18" customHeight="1" x14ac:dyDescent="0.25">
      <c r="A6" s="6" t="s">
        <v>104</v>
      </c>
      <c r="B6" s="6" t="s">
        <v>105</v>
      </c>
      <c r="C6" s="6" t="s">
        <v>170</v>
      </c>
      <c r="D6" s="6" t="s">
        <v>36</v>
      </c>
      <c r="E6" s="6" t="s">
        <v>171</v>
      </c>
      <c r="F6" s="6" t="s">
        <v>101</v>
      </c>
      <c r="G6" t="s">
        <v>260</v>
      </c>
    </row>
    <row r="7" spans="1:7" ht="18" customHeight="1" x14ac:dyDescent="0.25">
      <c r="A7" s="12" t="s">
        <v>172</v>
      </c>
      <c r="B7" s="12" t="s">
        <v>172</v>
      </c>
      <c r="C7" s="12" t="s">
        <v>170</v>
      </c>
      <c r="D7" s="12" t="s">
        <v>25</v>
      </c>
      <c r="E7" s="12" t="s">
        <v>171</v>
      </c>
      <c r="F7" s="12" t="s">
        <v>101</v>
      </c>
      <c r="G7" t="s">
        <v>261</v>
      </c>
    </row>
    <row r="8" spans="1:7" ht="18" customHeight="1" x14ac:dyDescent="0.25">
      <c r="A8" s="6" t="s">
        <v>173</v>
      </c>
      <c r="B8" s="6" t="s">
        <v>173</v>
      </c>
      <c r="C8" s="6" t="s">
        <v>170</v>
      </c>
      <c r="D8" s="6" t="s">
        <v>25</v>
      </c>
      <c r="E8" s="6" t="s">
        <v>174</v>
      </c>
      <c r="F8" s="6" t="s">
        <v>101</v>
      </c>
      <c r="G8" t="s">
        <v>262</v>
      </c>
    </row>
    <row r="9" spans="1:7" ht="18" customHeight="1" x14ac:dyDescent="0.25">
      <c r="A9" s="12" t="s">
        <v>99</v>
      </c>
      <c r="B9" s="12" t="s">
        <v>100</v>
      </c>
      <c r="C9" s="12" t="s">
        <v>170</v>
      </c>
      <c r="D9" s="12" t="s">
        <v>36</v>
      </c>
      <c r="E9" s="12" t="s">
        <v>175</v>
      </c>
      <c r="F9" s="12" t="s">
        <v>101</v>
      </c>
      <c r="G9" t="s">
        <v>263</v>
      </c>
    </row>
    <row r="10" spans="1:7" ht="18" customHeight="1" x14ac:dyDescent="0.25">
      <c r="A10" s="6" t="s">
        <v>176</v>
      </c>
      <c r="B10" s="6" t="s">
        <v>177</v>
      </c>
      <c r="C10" s="6" t="s">
        <v>170</v>
      </c>
      <c r="D10" s="6" t="s">
        <v>21</v>
      </c>
      <c r="E10" s="6" t="s">
        <v>171</v>
      </c>
      <c r="F10" s="6" t="s">
        <v>101</v>
      </c>
      <c r="G10" t="s">
        <v>264</v>
      </c>
    </row>
    <row r="11" spans="1:7" ht="18" customHeight="1" x14ac:dyDescent="0.25">
      <c r="A11" s="12" t="s">
        <v>178</v>
      </c>
      <c r="B11" s="12" t="s">
        <v>179</v>
      </c>
      <c r="C11" s="12" t="s">
        <v>180</v>
      </c>
      <c r="D11" s="12" t="s">
        <v>25</v>
      </c>
      <c r="E11" s="12" t="s">
        <v>171</v>
      </c>
      <c r="F11" s="12" t="s">
        <v>3</v>
      </c>
      <c r="G11" t="s">
        <v>265</v>
      </c>
    </row>
    <row r="12" spans="1:7" ht="18" customHeight="1" x14ac:dyDescent="0.25">
      <c r="A12" s="6" t="s">
        <v>181</v>
      </c>
      <c r="B12" s="6" t="s">
        <v>181</v>
      </c>
      <c r="C12" s="6" t="s">
        <v>170</v>
      </c>
      <c r="D12" s="6" t="s">
        <v>25</v>
      </c>
      <c r="E12" s="6" t="s">
        <v>126</v>
      </c>
      <c r="F12" s="6" t="s">
        <v>101</v>
      </c>
      <c r="G12" t="s">
        <v>266</v>
      </c>
    </row>
    <row r="13" spans="1:7" ht="18" customHeight="1" x14ac:dyDescent="0.25">
      <c r="A13" s="12" t="s">
        <v>182</v>
      </c>
      <c r="B13" s="12" t="s">
        <v>182</v>
      </c>
      <c r="C13" s="12" t="s">
        <v>170</v>
      </c>
      <c r="D13" s="12" t="s">
        <v>21</v>
      </c>
      <c r="E13" s="12" t="s">
        <v>171</v>
      </c>
      <c r="F13" s="12" t="s">
        <v>101</v>
      </c>
      <c r="G13" t="s">
        <v>267</v>
      </c>
    </row>
    <row r="15" spans="1:7" ht="15" customHeight="1" x14ac:dyDescent="0.25">
      <c r="A15" s="21" t="s">
        <v>183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36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2" width="50" customWidth="1"/>
    <col min="3" max="3" width="9.85546875" customWidth="1"/>
    <col min="4" max="4" width="11.42578125" customWidth="1"/>
    <col min="5" max="6" width="11.7109375" customWidth="1"/>
    <col min="7" max="7" width="13" customWidth="1"/>
    <col min="8" max="8" width="10.7109375" customWidth="1"/>
    <col min="9" max="9" width="36.7109375" customWidth="1"/>
  </cols>
  <sheetData>
    <row r="1" spans="1:9" ht="25.5" customHeight="1" x14ac:dyDescent="0.25">
      <c r="A1" s="1" t="s">
        <v>184</v>
      </c>
    </row>
    <row r="2" spans="1:9" ht="15" customHeight="1" x14ac:dyDescent="0.25">
      <c r="A2" s="2" t="s">
        <v>185</v>
      </c>
    </row>
    <row r="3" spans="1:9" ht="30" customHeight="1" x14ac:dyDescent="0.25"/>
    <row r="4" spans="1:9" ht="19.5" customHeight="1" x14ac:dyDescent="0.25">
      <c r="A4" s="4" t="s">
        <v>186</v>
      </c>
      <c r="B4" s="4" t="s">
        <v>7</v>
      </c>
      <c r="C4" s="4" t="s">
        <v>187</v>
      </c>
      <c r="D4" s="4" t="s">
        <v>188</v>
      </c>
      <c r="E4" s="4" t="s">
        <v>189</v>
      </c>
      <c r="F4" s="4" t="s">
        <v>190</v>
      </c>
      <c r="G4" s="4" t="s">
        <v>191</v>
      </c>
      <c r="H4" s="4" t="s">
        <v>9</v>
      </c>
      <c r="I4" s="4" t="s">
        <v>123</v>
      </c>
    </row>
    <row r="5" spans="1:9" ht="19.5" customHeight="1" x14ac:dyDescent="0.25">
      <c r="A5" s="5" t="s">
        <v>17</v>
      </c>
      <c r="B5" s="6" t="s">
        <v>18</v>
      </c>
      <c r="C5" s="8" t="s">
        <v>192</v>
      </c>
      <c r="D5" s="37">
        <v>425</v>
      </c>
      <c r="E5" s="7" t="s">
        <v>193</v>
      </c>
      <c r="F5" s="7" t="s">
        <v>193</v>
      </c>
      <c r="G5" s="7" t="s">
        <v>193</v>
      </c>
      <c r="H5" s="8" t="s">
        <v>20</v>
      </c>
      <c r="I5" s="6" t="s">
        <v>194</v>
      </c>
    </row>
    <row r="6" spans="1:9" ht="19.5" customHeight="1" x14ac:dyDescent="0.25">
      <c r="A6" s="11" t="s">
        <v>33</v>
      </c>
      <c r="B6" s="12" t="s">
        <v>34</v>
      </c>
      <c r="C6" s="8" t="s">
        <v>192</v>
      </c>
      <c r="D6" s="38">
        <v>1050</v>
      </c>
      <c r="E6" s="13" t="s">
        <v>193</v>
      </c>
      <c r="F6" s="13" t="s">
        <v>193</v>
      </c>
      <c r="G6" s="13" t="s">
        <v>193</v>
      </c>
      <c r="H6" s="8" t="s">
        <v>20</v>
      </c>
      <c r="I6" s="12" t="s">
        <v>195</v>
      </c>
    </row>
    <row r="7" spans="1:9" ht="19.5" customHeight="1" x14ac:dyDescent="0.25">
      <c r="A7" s="5" t="s">
        <v>27</v>
      </c>
      <c r="B7" s="6" t="s">
        <v>28</v>
      </c>
      <c r="C7" s="8" t="s">
        <v>192</v>
      </c>
      <c r="D7" s="37">
        <v>90</v>
      </c>
      <c r="E7" s="7" t="s">
        <v>193</v>
      </c>
      <c r="F7" s="7" t="s">
        <v>193</v>
      </c>
      <c r="G7" s="7" t="s">
        <v>193</v>
      </c>
      <c r="H7" s="8" t="s">
        <v>20</v>
      </c>
      <c r="I7" s="6" t="s">
        <v>196</v>
      </c>
    </row>
    <row r="8" spans="1:9" ht="19.5" customHeight="1" x14ac:dyDescent="0.25">
      <c r="A8" s="11" t="s">
        <v>29</v>
      </c>
      <c r="B8" s="12" t="s">
        <v>30</v>
      </c>
      <c r="C8" s="8" t="s">
        <v>192</v>
      </c>
      <c r="D8" s="38">
        <v>60</v>
      </c>
      <c r="E8" s="13" t="s">
        <v>193</v>
      </c>
      <c r="F8" s="13" t="s">
        <v>193</v>
      </c>
      <c r="G8" s="13" t="s">
        <v>193</v>
      </c>
      <c r="H8" s="8" t="s">
        <v>20</v>
      </c>
      <c r="I8" s="12" t="s">
        <v>197</v>
      </c>
    </row>
    <row r="9" spans="1:9" ht="19.5" customHeight="1" x14ac:dyDescent="0.25">
      <c r="A9" s="5" t="s">
        <v>31</v>
      </c>
      <c r="B9" s="6" t="s">
        <v>32</v>
      </c>
      <c r="C9" s="8" t="s">
        <v>192</v>
      </c>
      <c r="D9" s="37">
        <v>155</v>
      </c>
      <c r="E9" s="7" t="s">
        <v>193</v>
      </c>
      <c r="F9" s="7" t="s">
        <v>193</v>
      </c>
      <c r="G9" s="7" t="s">
        <v>193</v>
      </c>
      <c r="H9" s="8" t="s">
        <v>20</v>
      </c>
      <c r="I9" s="6" t="s">
        <v>198</v>
      </c>
    </row>
    <row r="10" spans="1:9" ht="19.5" customHeight="1" x14ac:dyDescent="0.25">
      <c r="A10" s="11" t="s">
        <v>41</v>
      </c>
      <c r="B10" s="12" t="s">
        <v>42</v>
      </c>
      <c r="C10" s="8" t="s">
        <v>192</v>
      </c>
      <c r="D10" s="38">
        <v>40</v>
      </c>
      <c r="E10" s="13" t="s">
        <v>193</v>
      </c>
      <c r="F10" s="13" t="s">
        <v>193</v>
      </c>
      <c r="G10" s="13" t="s">
        <v>193</v>
      </c>
      <c r="H10" s="8" t="s">
        <v>20</v>
      </c>
      <c r="I10" s="12" t="s">
        <v>199</v>
      </c>
    </row>
    <row r="11" spans="1:9" ht="19.5" customHeight="1" x14ac:dyDescent="0.25">
      <c r="A11" s="5" t="s">
        <v>43</v>
      </c>
      <c r="B11" s="6" t="s">
        <v>43</v>
      </c>
      <c r="C11" s="8" t="s">
        <v>192</v>
      </c>
      <c r="D11" s="37">
        <v>190</v>
      </c>
      <c r="E11" s="7" t="s">
        <v>193</v>
      </c>
      <c r="F11" s="7" t="s">
        <v>193</v>
      </c>
      <c r="G11" s="7" t="s">
        <v>193</v>
      </c>
      <c r="H11" s="8" t="s">
        <v>20</v>
      </c>
      <c r="I11" s="6" t="s">
        <v>200</v>
      </c>
    </row>
    <row r="12" spans="1:9" ht="19.5" customHeight="1" x14ac:dyDescent="0.25">
      <c r="A12" s="11" t="s">
        <v>57</v>
      </c>
      <c r="B12" s="12" t="s">
        <v>58</v>
      </c>
      <c r="C12" s="8" t="s">
        <v>192</v>
      </c>
      <c r="D12" s="38">
        <v>35</v>
      </c>
      <c r="E12" s="13" t="s">
        <v>193</v>
      </c>
      <c r="F12" s="13" t="s">
        <v>193</v>
      </c>
      <c r="G12" s="13" t="s">
        <v>193</v>
      </c>
      <c r="H12" s="8" t="s">
        <v>20</v>
      </c>
      <c r="I12" s="12" t="s">
        <v>201</v>
      </c>
    </row>
    <row r="13" spans="1:9" ht="19.5" customHeight="1" x14ac:dyDescent="0.25">
      <c r="A13" s="5" t="s">
        <v>59</v>
      </c>
      <c r="B13" s="6" t="s">
        <v>60</v>
      </c>
      <c r="C13" s="8" t="s">
        <v>192</v>
      </c>
      <c r="D13" s="37">
        <v>25</v>
      </c>
      <c r="E13" s="7" t="s">
        <v>193</v>
      </c>
      <c r="F13" s="7" t="s">
        <v>193</v>
      </c>
      <c r="G13" s="7" t="s">
        <v>193</v>
      </c>
      <c r="H13" s="8" t="s">
        <v>20</v>
      </c>
      <c r="I13" s="6" t="s">
        <v>202</v>
      </c>
    </row>
    <row r="14" spans="1:9" ht="19.5" customHeight="1" x14ac:dyDescent="0.25">
      <c r="A14" s="11" t="s">
        <v>61</v>
      </c>
      <c r="B14" s="12" t="s">
        <v>62</v>
      </c>
      <c r="C14" s="8" t="s">
        <v>192</v>
      </c>
      <c r="D14" s="38">
        <v>50</v>
      </c>
      <c r="E14" s="13" t="s">
        <v>193</v>
      </c>
      <c r="F14" s="13" t="s">
        <v>193</v>
      </c>
      <c r="G14" s="13" t="s">
        <v>193</v>
      </c>
      <c r="H14" s="8" t="s">
        <v>20</v>
      </c>
      <c r="I14" s="12" t="s">
        <v>203</v>
      </c>
    </row>
    <row r="15" spans="1:9" ht="19.5" customHeight="1" x14ac:dyDescent="0.25">
      <c r="A15" s="5" t="s">
        <v>35</v>
      </c>
      <c r="B15" s="6" t="s">
        <v>35</v>
      </c>
      <c r="C15" s="8" t="s">
        <v>192</v>
      </c>
      <c r="D15" s="37">
        <v>475</v>
      </c>
      <c r="E15" s="7" t="s">
        <v>193</v>
      </c>
      <c r="F15" s="7" t="s">
        <v>193</v>
      </c>
      <c r="G15" s="7" t="s">
        <v>193</v>
      </c>
      <c r="H15" s="8" t="s">
        <v>20</v>
      </c>
      <c r="I15" s="6" t="s">
        <v>204</v>
      </c>
    </row>
    <row r="16" spans="1:9" ht="19.5" customHeight="1" x14ac:dyDescent="0.25">
      <c r="A16" s="11" t="s">
        <v>23</v>
      </c>
      <c r="B16" s="12" t="s">
        <v>24</v>
      </c>
      <c r="C16" s="8" t="s">
        <v>192</v>
      </c>
      <c r="D16" s="38">
        <v>310</v>
      </c>
      <c r="E16" s="13" t="s">
        <v>193</v>
      </c>
      <c r="F16" s="13" t="s">
        <v>193</v>
      </c>
      <c r="G16" s="13" t="s">
        <v>193</v>
      </c>
      <c r="H16" s="8" t="s">
        <v>20</v>
      </c>
      <c r="I16" s="12" t="s">
        <v>205</v>
      </c>
    </row>
    <row r="17" spans="1:9" ht="19.5" customHeight="1" x14ac:dyDescent="0.25">
      <c r="A17" s="5" t="s">
        <v>44</v>
      </c>
      <c r="B17" s="6" t="s">
        <v>45</v>
      </c>
      <c r="C17" s="8" t="s">
        <v>192</v>
      </c>
      <c r="D17" s="37">
        <v>85</v>
      </c>
      <c r="E17" s="7" t="s">
        <v>193</v>
      </c>
      <c r="F17" s="7" t="s">
        <v>193</v>
      </c>
      <c r="G17" s="7" t="s">
        <v>193</v>
      </c>
      <c r="H17" s="8" t="s">
        <v>20</v>
      </c>
      <c r="I17" s="6" t="s">
        <v>206</v>
      </c>
    </row>
    <row r="18" spans="1:9" ht="19.5" customHeight="1" x14ac:dyDescent="0.25">
      <c r="A18" s="11" t="s">
        <v>48</v>
      </c>
      <c r="B18" s="12" t="s">
        <v>49</v>
      </c>
      <c r="C18" s="8" t="s">
        <v>192</v>
      </c>
      <c r="D18" s="13" t="s">
        <v>193</v>
      </c>
      <c r="E18" s="38">
        <v>125</v>
      </c>
      <c r="F18" s="13" t="s">
        <v>193</v>
      </c>
      <c r="G18" s="13" t="s">
        <v>193</v>
      </c>
      <c r="H18" s="8" t="s">
        <v>20</v>
      </c>
      <c r="I18" s="12" t="s">
        <v>207</v>
      </c>
    </row>
    <row r="19" spans="1:9" ht="19.5" customHeight="1" x14ac:dyDescent="0.25">
      <c r="A19" s="5" t="s">
        <v>50</v>
      </c>
      <c r="B19" s="6" t="s">
        <v>51</v>
      </c>
      <c r="C19" s="8" t="s">
        <v>192</v>
      </c>
      <c r="D19" s="7" t="s">
        <v>193</v>
      </c>
      <c r="E19" s="37">
        <v>45</v>
      </c>
      <c r="F19" s="7" t="s">
        <v>193</v>
      </c>
      <c r="G19" s="7" t="s">
        <v>193</v>
      </c>
      <c r="H19" s="8" t="s">
        <v>20</v>
      </c>
      <c r="I19" s="6" t="s">
        <v>208</v>
      </c>
    </row>
    <row r="20" spans="1:9" ht="19.5" customHeight="1" x14ac:dyDescent="0.25">
      <c r="A20" s="11" t="s">
        <v>54</v>
      </c>
      <c r="B20" s="12" t="s">
        <v>49</v>
      </c>
      <c r="C20" s="8" t="s">
        <v>192</v>
      </c>
      <c r="D20" s="13" t="s">
        <v>193</v>
      </c>
      <c r="E20" s="38">
        <v>90</v>
      </c>
      <c r="F20" s="13" t="s">
        <v>193</v>
      </c>
      <c r="G20" s="13" t="s">
        <v>193</v>
      </c>
      <c r="H20" s="8" t="s">
        <v>20</v>
      </c>
      <c r="I20" s="12" t="s">
        <v>209</v>
      </c>
    </row>
    <row r="21" spans="1:9" ht="19.5" customHeight="1" x14ac:dyDescent="0.25">
      <c r="A21" s="5" t="s">
        <v>52</v>
      </c>
      <c r="B21" s="6" t="s">
        <v>53</v>
      </c>
      <c r="C21" s="8" t="s">
        <v>192</v>
      </c>
      <c r="D21" s="7" t="s">
        <v>193</v>
      </c>
      <c r="E21" s="37">
        <v>85</v>
      </c>
      <c r="F21" s="7" t="s">
        <v>193</v>
      </c>
      <c r="G21" s="7" t="s">
        <v>193</v>
      </c>
      <c r="H21" s="8" t="s">
        <v>20</v>
      </c>
      <c r="I21" s="6" t="s">
        <v>210</v>
      </c>
    </row>
    <row r="22" spans="1:9" ht="19.5" customHeight="1" x14ac:dyDescent="0.25">
      <c r="A22" s="11" t="s">
        <v>55</v>
      </c>
      <c r="B22" s="12" t="s">
        <v>56</v>
      </c>
      <c r="C22" s="8" t="s">
        <v>192</v>
      </c>
      <c r="D22" s="13" t="s">
        <v>193</v>
      </c>
      <c r="E22" s="38">
        <v>30</v>
      </c>
      <c r="F22" s="13" t="s">
        <v>193</v>
      </c>
      <c r="G22" s="13" t="s">
        <v>193</v>
      </c>
      <c r="H22" s="8" t="s">
        <v>20</v>
      </c>
      <c r="I22" s="12" t="s">
        <v>211</v>
      </c>
    </row>
    <row r="23" spans="1:9" ht="19.5" customHeight="1" x14ac:dyDescent="0.25">
      <c r="A23" s="5" t="s">
        <v>38</v>
      </c>
      <c r="B23" s="6" t="s">
        <v>39</v>
      </c>
      <c r="C23" s="8" t="s">
        <v>192</v>
      </c>
      <c r="D23" s="7" t="s">
        <v>193</v>
      </c>
      <c r="E23" s="7" t="s">
        <v>193</v>
      </c>
      <c r="F23" s="37">
        <v>135</v>
      </c>
      <c r="G23" s="7" t="s">
        <v>193</v>
      </c>
      <c r="H23" s="8" t="s">
        <v>20</v>
      </c>
      <c r="I23" s="6" t="s">
        <v>212</v>
      </c>
    </row>
    <row r="24" spans="1:9" ht="19.5" customHeight="1" x14ac:dyDescent="0.25">
      <c r="A24" s="11" t="s">
        <v>46</v>
      </c>
      <c r="B24" s="12" t="s">
        <v>47</v>
      </c>
      <c r="C24" s="8" t="s">
        <v>192</v>
      </c>
      <c r="D24" s="13" t="s">
        <v>193</v>
      </c>
      <c r="E24" s="13" t="s">
        <v>193</v>
      </c>
      <c r="F24" s="38">
        <v>55</v>
      </c>
      <c r="G24" s="13" t="s">
        <v>193</v>
      </c>
      <c r="H24" s="8" t="s">
        <v>20</v>
      </c>
      <c r="I24" s="12" t="s">
        <v>213</v>
      </c>
    </row>
    <row r="25" spans="1:9" ht="19.5" customHeight="1" x14ac:dyDescent="0.25">
      <c r="A25" s="5" t="s">
        <v>65</v>
      </c>
      <c r="B25" s="6" t="s">
        <v>66</v>
      </c>
      <c r="C25" s="8" t="s">
        <v>192</v>
      </c>
      <c r="D25" s="7" t="s">
        <v>193</v>
      </c>
      <c r="E25" s="7" t="s">
        <v>193</v>
      </c>
      <c r="F25" s="37">
        <v>125</v>
      </c>
      <c r="G25" s="7" t="s">
        <v>193</v>
      </c>
      <c r="H25" s="8" t="s">
        <v>20</v>
      </c>
      <c r="I25" s="6" t="s">
        <v>214</v>
      </c>
    </row>
    <row r="26" spans="1:9" ht="19.5" customHeight="1" x14ac:dyDescent="0.25">
      <c r="A26" s="11" t="s">
        <v>63</v>
      </c>
      <c r="B26" s="12" t="s">
        <v>64</v>
      </c>
      <c r="C26" s="8" t="s">
        <v>192</v>
      </c>
      <c r="D26" s="13" t="s">
        <v>193</v>
      </c>
      <c r="E26" s="13" t="s">
        <v>193</v>
      </c>
      <c r="F26" s="38">
        <v>100</v>
      </c>
      <c r="G26" s="13" t="s">
        <v>193</v>
      </c>
      <c r="H26" s="8" t="s">
        <v>20</v>
      </c>
      <c r="I26" s="12" t="s">
        <v>215</v>
      </c>
    </row>
    <row r="27" spans="1:9" ht="19.5" customHeight="1" x14ac:dyDescent="0.25">
      <c r="A27" s="5" t="s">
        <v>67</v>
      </c>
      <c r="B27" s="6" t="s">
        <v>68</v>
      </c>
      <c r="C27" s="18" t="s">
        <v>216</v>
      </c>
      <c r="D27" s="7" t="s">
        <v>193</v>
      </c>
      <c r="E27" s="7" t="s">
        <v>193</v>
      </c>
      <c r="F27" s="7" t="s">
        <v>193</v>
      </c>
      <c r="G27" s="37">
        <v>65</v>
      </c>
      <c r="H27" s="18" t="s">
        <v>70</v>
      </c>
      <c r="I27" s="6" t="s">
        <v>217</v>
      </c>
    </row>
    <row r="28" spans="1:9" ht="19.5" customHeight="1" x14ac:dyDescent="0.25">
      <c r="A28" s="11" t="s">
        <v>71</v>
      </c>
      <c r="B28" s="12" t="s">
        <v>72</v>
      </c>
      <c r="C28" s="18" t="s">
        <v>216</v>
      </c>
      <c r="D28" s="13" t="s">
        <v>193</v>
      </c>
      <c r="E28" s="13" t="s">
        <v>193</v>
      </c>
      <c r="F28" s="13" t="s">
        <v>193</v>
      </c>
      <c r="G28" s="38">
        <v>40</v>
      </c>
      <c r="H28" s="18" t="s">
        <v>70</v>
      </c>
      <c r="I28" s="12" t="s">
        <v>217</v>
      </c>
    </row>
    <row r="29" spans="1:9" ht="15" customHeight="1" x14ac:dyDescent="0.25">
      <c r="A29" s="5" t="s">
        <v>74</v>
      </c>
      <c r="B29" s="6" t="s">
        <v>75</v>
      </c>
      <c r="C29" s="18" t="s">
        <v>216</v>
      </c>
      <c r="D29" s="7" t="s">
        <v>193</v>
      </c>
      <c r="E29" s="7" t="s">
        <v>193</v>
      </c>
      <c r="F29" s="7" t="s">
        <v>193</v>
      </c>
      <c r="G29" s="37">
        <v>75</v>
      </c>
      <c r="H29" s="18" t="s">
        <v>70</v>
      </c>
      <c r="I29" s="6" t="s">
        <v>218</v>
      </c>
    </row>
    <row r="30" spans="1:9" ht="7.5" customHeight="1" x14ac:dyDescent="0.25"/>
    <row r="31" spans="1:9" ht="21.75" customHeight="1" x14ac:dyDescent="0.25"/>
    <row r="32" spans="1:9" ht="21.75" customHeight="1" x14ac:dyDescent="0.25">
      <c r="A32" s="19" t="s">
        <v>219</v>
      </c>
      <c r="B32" s="20"/>
      <c r="C32" s="20"/>
      <c r="D32" s="20"/>
      <c r="E32" s="20"/>
      <c r="F32" s="20"/>
      <c r="G32" s="20"/>
      <c r="H32" s="20"/>
      <c r="I32" s="20"/>
    </row>
    <row r="33" spans="1:4" ht="21.75" customHeight="1" x14ac:dyDescent="0.25">
      <c r="A33" s="39" t="s">
        <v>220</v>
      </c>
      <c r="B33" s="20"/>
      <c r="C33" s="20"/>
      <c r="D33" s="40">
        <f>SUMIF(C5:C29,"Live",D5:D29)+SUMIF(C5:C29,"Live",E5:E29)+SUMIF(C5:C29,"Live",F5:F29)</f>
        <v>3780</v>
      </c>
    </row>
    <row r="34" spans="1:4" ht="21.75" customHeight="1" x14ac:dyDescent="0.25">
      <c r="A34" s="39" t="s">
        <v>221</v>
      </c>
      <c r="B34" s="20"/>
      <c r="C34" s="20"/>
      <c r="D34" s="41">
        <f>SUMIF(C5:C29,"Pipeline",G5:G29)</f>
        <v>180</v>
      </c>
    </row>
    <row r="35" spans="1:4" ht="21.75" customHeight="1" x14ac:dyDescent="0.25">
      <c r="A35" s="39" t="s">
        <v>222</v>
      </c>
      <c r="B35" s="20"/>
      <c r="C35" s="20"/>
      <c r="D35" s="42">
        <f>SUMIF(C5:C29,"At Risk",D5:D29)+SUMIF(C5:C29,"At Risk",E5:E29)+SUMIF(C5:C29,"At Risk",F5:F29)</f>
        <v>0</v>
      </c>
    </row>
    <row r="36" spans="1:4" ht="15" customHeight="1" x14ac:dyDescent="0.25">
      <c r="A36" s="39" t="s">
        <v>223</v>
      </c>
      <c r="B36" s="20"/>
      <c r="C36" s="20"/>
      <c r="D36" s="43">
        <f>SUM(D5:G29)</f>
        <v>3960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28"/>
  <sheetViews>
    <sheetView zoomScaleNormal="100" workbookViewId="0">
      <pane ySplit="3" topLeftCell="A4" activePane="bottomLeft" state="frozen"/>
      <selection pane="bottomLeft"/>
    </sheetView>
  </sheetViews>
  <sheetFormatPr defaultColWidth="8.7109375" defaultRowHeight="15" x14ac:dyDescent="0.25"/>
  <cols>
    <col min="1" max="1" width="53.85546875" customWidth="1"/>
    <col min="2" max="2" width="14.7109375" customWidth="1"/>
    <col min="3" max="3" width="17.42578125" customWidth="1"/>
    <col min="4" max="4" width="9.85546875" customWidth="1"/>
    <col min="5" max="5" width="11.85546875" customWidth="1"/>
    <col min="6" max="6" width="9.5703125" customWidth="1"/>
    <col min="7" max="7" width="9.85546875" customWidth="1"/>
    <col min="8" max="8" width="77.28515625" customWidth="1"/>
  </cols>
  <sheetData>
    <row r="1" spans="1:8" ht="25.5" customHeight="1" x14ac:dyDescent="0.25">
      <c r="A1" s="1" t="s">
        <v>224</v>
      </c>
    </row>
    <row r="2" spans="1:8" ht="15" customHeight="1" x14ac:dyDescent="0.25">
      <c r="A2" s="2" t="s">
        <v>225</v>
      </c>
    </row>
    <row r="3" spans="1:8" ht="30" customHeight="1" x14ac:dyDescent="0.25">
      <c r="A3" s="4" t="s">
        <v>6</v>
      </c>
      <c r="B3" s="4" t="s">
        <v>7</v>
      </c>
      <c r="C3" s="4" t="s">
        <v>226</v>
      </c>
      <c r="D3" s="4" t="s">
        <v>227</v>
      </c>
      <c r="E3" s="4" t="s">
        <v>228</v>
      </c>
      <c r="F3" s="4" t="s">
        <v>229</v>
      </c>
      <c r="G3" s="4" t="s">
        <v>230</v>
      </c>
      <c r="H3" s="4" t="s">
        <v>231</v>
      </c>
    </row>
    <row r="4" spans="1:8" ht="19.5" customHeight="1" x14ac:dyDescent="0.25">
      <c r="A4" s="5" t="s">
        <v>17</v>
      </c>
      <c r="B4" s="6" t="s">
        <v>18</v>
      </c>
      <c r="C4" s="8" t="s">
        <v>232</v>
      </c>
      <c r="D4" s="7" t="s">
        <v>84</v>
      </c>
      <c r="E4" s="44">
        <v>42788</v>
      </c>
      <c r="F4" s="8" t="str">
        <f t="shared" ref="F4:F25" si="0">"Signed "&amp;TEXT(E4,"MMM YYYY")</f>
        <v>Signed Feb 2017</v>
      </c>
      <c r="G4" s="8" t="s">
        <v>21</v>
      </c>
      <c r="H4" s="6" t="s">
        <v>233</v>
      </c>
    </row>
    <row r="5" spans="1:8" ht="19.5" customHeight="1" x14ac:dyDescent="0.25">
      <c r="A5" s="11" t="s">
        <v>33</v>
      </c>
      <c r="B5" s="12" t="s">
        <v>34</v>
      </c>
      <c r="C5" s="8" t="s">
        <v>232</v>
      </c>
      <c r="D5" s="13" t="s">
        <v>84</v>
      </c>
      <c r="E5" s="45">
        <v>42854</v>
      </c>
      <c r="F5" s="8" t="str">
        <f t="shared" si="0"/>
        <v>Signed Apr 2017</v>
      </c>
      <c r="G5" s="8" t="s">
        <v>21</v>
      </c>
      <c r="H5" s="12" t="s">
        <v>234</v>
      </c>
    </row>
    <row r="6" spans="1:8" ht="19.5" customHeight="1" x14ac:dyDescent="0.25">
      <c r="A6" s="5" t="s">
        <v>27</v>
      </c>
      <c r="B6" s="6" t="s">
        <v>28</v>
      </c>
      <c r="C6" s="8" t="s">
        <v>232</v>
      </c>
      <c r="D6" s="7" t="s">
        <v>84</v>
      </c>
      <c r="E6" s="44">
        <v>43133</v>
      </c>
      <c r="F6" s="8" t="str">
        <f t="shared" si="0"/>
        <v>Signed Feb 2018</v>
      </c>
      <c r="G6" s="8" t="s">
        <v>21</v>
      </c>
      <c r="H6" s="6" t="s">
        <v>235</v>
      </c>
    </row>
    <row r="7" spans="1:8" ht="19.5" customHeight="1" x14ac:dyDescent="0.25">
      <c r="A7" s="11" t="s">
        <v>29</v>
      </c>
      <c r="B7" s="12" t="s">
        <v>30</v>
      </c>
      <c r="C7" s="8" t="s">
        <v>232</v>
      </c>
      <c r="D7" s="13" t="s">
        <v>84</v>
      </c>
      <c r="E7" s="45">
        <v>43205</v>
      </c>
      <c r="F7" s="8" t="str">
        <f t="shared" si="0"/>
        <v>Signed Apr 2018</v>
      </c>
      <c r="G7" s="8" t="s">
        <v>21</v>
      </c>
      <c r="H7" s="12" t="s">
        <v>236</v>
      </c>
    </row>
    <row r="8" spans="1:8" ht="19.5" customHeight="1" x14ac:dyDescent="0.25">
      <c r="A8" s="5" t="s">
        <v>31</v>
      </c>
      <c r="B8" s="6" t="s">
        <v>32</v>
      </c>
      <c r="C8" s="8" t="s">
        <v>232</v>
      </c>
      <c r="D8" s="7" t="s">
        <v>84</v>
      </c>
      <c r="E8" s="44">
        <v>43296</v>
      </c>
      <c r="F8" s="8" t="str">
        <f t="shared" si="0"/>
        <v>Signed Jul 2018</v>
      </c>
      <c r="G8" s="8" t="s">
        <v>21</v>
      </c>
      <c r="H8" s="6" t="s">
        <v>237</v>
      </c>
    </row>
    <row r="9" spans="1:8" ht="19.5" customHeight="1" x14ac:dyDescent="0.25">
      <c r="A9" s="11" t="s">
        <v>41</v>
      </c>
      <c r="B9" s="12" t="s">
        <v>42</v>
      </c>
      <c r="C9" s="8" t="s">
        <v>232</v>
      </c>
      <c r="D9" s="13" t="s">
        <v>84</v>
      </c>
      <c r="E9" s="45">
        <v>43489</v>
      </c>
      <c r="F9" s="8" t="str">
        <f t="shared" si="0"/>
        <v>Signed Jan 2019</v>
      </c>
      <c r="G9" s="8" t="s">
        <v>21</v>
      </c>
      <c r="H9" s="12" t="s">
        <v>238</v>
      </c>
    </row>
    <row r="10" spans="1:8" ht="19.5" customHeight="1" x14ac:dyDescent="0.25">
      <c r="A10" s="5" t="s">
        <v>43</v>
      </c>
      <c r="B10" s="6" t="s">
        <v>43</v>
      </c>
      <c r="C10" s="8" t="s">
        <v>232</v>
      </c>
      <c r="D10" s="7" t="s">
        <v>84</v>
      </c>
      <c r="E10" s="44">
        <v>43574</v>
      </c>
      <c r="F10" s="8" t="str">
        <f t="shared" si="0"/>
        <v>Signed Apr 2019</v>
      </c>
      <c r="G10" s="8" t="s">
        <v>21</v>
      </c>
      <c r="H10" s="6" t="s">
        <v>239</v>
      </c>
    </row>
    <row r="11" spans="1:8" ht="19.5" customHeight="1" x14ac:dyDescent="0.25">
      <c r="A11" s="11" t="s">
        <v>57</v>
      </c>
      <c r="B11" s="12" t="s">
        <v>58</v>
      </c>
      <c r="C11" s="8" t="s">
        <v>232</v>
      </c>
      <c r="D11" s="13" t="s">
        <v>84</v>
      </c>
      <c r="E11" s="45">
        <v>43679</v>
      </c>
      <c r="F11" s="8" t="str">
        <f t="shared" si="0"/>
        <v>Signed Aug 2019</v>
      </c>
      <c r="G11" s="8" t="s">
        <v>21</v>
      </c>
      <c r="H11" s="12" t="s">
        <v>240</v>
      </c>
    </row>
    <row r="12" spans="1:8" ht="19.5" customHeight="1" x14ac:dyDescent="0.25">
      <c r="A12" s="5" t="s">
        <v>59</v>
      </c>
      <c r="B12" s="6" t="s">
        <v>60</v>
      </c>
      <c r="C12" s="8" t="s">
        <v>232</v>
      </c>
      <c r="D12" s="7" t="s">
        <v>84</v>
      </c>
      <c r="E12" s="44">
        <v>43692</v>
      </c>
      <c r="F12" s="8" t="str">
        <f t="shared" si="0"/>
        <v>Signed Aug 2019</v>
      </c>
      <c r="G12" s="8" t="s">
        <v>21</v>
      </c>
      <c r="H12" s="6" t="s">
        <v>240</v>
      </c>
    </row>
    <row r="13" spans="1:8" ht="19.5" customHeight="1" x14ac:dyDescent="0.25">
      <c r="A13" s="11" t="s">
        <v>61</v>
      </c>
      <c r="B13" s="12" t="s">
        <v>62</v>
      </c>
      <c r="C13" s="8" t="s">
        <v>232</v>
      </c>
      <c r="D13" s="13" t="s">
        <v>84</v>
      </c>
      <c r="E13" s="45">
        <v>43753</v>
      </c>
      <c r="F13" s="8" t="str">
        <f t="shared" si="0"/>
        <v>Signed Oct 2019</v>
      </c>
      <c r="G13" s="8" t="s">
        <v>21</v>
      </c>
      <c r="H13" s="12" t="s">
        <v>241</v>
      </c>
    </row>
    <row r="14" spans="1:8" ht="19.5" customHeight="1" x14ac:dyDescent="0.25">
      <c r="A14" s="5" t="s">
        <v>23</v>
      </c>
      <c r="B14" s="6" t="s">
        <v>24</v>
      </c>
      <c r="C14" s="8" t="s">
        <v>232</v>
      </c>
      <c r="D14" s="7" t="s">
        <v>84</v>
      </c>
      <c r="E14" s="44">
        <v>44241</v>
      </c>
      <c r="F14" s="8" t="str">
        <f t="shared" si="0"/>
        <v>Signed Feb 2021</v>
      </c>
      <c r="G14" s="14" t="s">
        <v>25</v>
      </c>
      <c r="H14" s="6" t="s">
        <v>242</v>
      </c>
    </row>
    <row r="15" spans="1:8" ht="19.5" customHeight="1" x14ac:dyDescent="0.25">
      <c r="A15" s="11" t="s">
        <v>35</v>
      </c>
      <c r="B15" s="12" t="s">
        <v>35</v>
      </c>
      <c r="C15" s="8" t="s">
        <v>232</v>
      </c>
      <c r="D15" s="13" t="s">
        <v>84</v>
      </c>
      <c r="E15" s="45">
        <v>44345</v>
      </c>
      <c r="F15" s="8" t="str">
        <f t="shared" si="0"/>
        <v>Signed May 2021</v>
      </c>
      <c r="G15" s="17" t="s">
        <v>36</v>
      </c>
      <c r="H15" s="12" t="s">
        <v>243</v>
      </c>
    </row>
    <row r="16" spans="1:8" ht="19.5" customHeight="1" x14ac:dyDescent="0.25">
      <c r="A16" s="5" t="s">
        <v>44</v>
      </c>
      <c r="B16" s="6" t="s">
        <v>45</v>
      </c>
      <c r="C16" s="8" t="s">
        <v>232</v>
      </c>
      <c r="D16" s="7" t="s">
        <v>84</v>
      </c>
      <c r="E16" s="44">
        <v>44430</v>
      </c>
      <c r="F16" s="8" t="str">
        <f t="shared" si="0"/>
        <v>Signed Aug 2021</v>
      </c>
      <c r="G16" s="8" t="s">
        <v>21</v>
      </c>
      <c r="H16" s="6" t="s">
        <v>244</v>
      </c>
    </row>
    <row r="17" spans="1:8" ht="19.5" customHeight="1" x14ac:dyDescent="0.25">
      <c r="A17" s="11" t="s">
        <v>48</v>
      </c>
      <c r="B17" s="12" t="s">
        <v>49</v>
      </c>
      <c r="C17" s="8" t="s">
        <v>232</v>
      </c>
      <c r="D17" s="13" t="s">
        <v>84</v>
      </c>
      <c r="E17" s="45">
        <v>44589</v>
      </c>
      <c r="F17" s="8" t="str">
        <f t="shared" si="0"/>
        <v>Signed Jan 2022</v>
      </c>
      <c r="G17" s="8" t="s">
        <v>21</v>
      </c>
      <c r="H17" s="12" t="s">
        <v>245</v>
      </c>
    </row>
    <row r="18" spans="1:8" ht="19.5" customHeight="1" x14ac:dyDescent="0.25">
      <c r="A18" s="5" t="s">
        <v>50</v>
      </c>
      <c r="B18" s="6" t="s">
        <v>51</v>
      </c>
      <c r="C18" s="8" t="s">
        <v>232</v>
      </c>
      <c r="D18" s="7" t="s">
        <v>84</v>
      </c>
      <c r="E18" s="44">
        <v>44673</v>
      </c>
      <c r="F18" s="8" t="str">
        <f t="shared" si="0"/>
        <v>Signed Apr 2022</v>
      </c>
      <c r="G18" s="8" t="s">
        <v>21</v>
      </c>
      <c r="H18" s="6" t="s">
        <v>246</v>
      </c>
    </row>
    <row r="19" spans="1:8" ht="19.5" customHeight="1" x14ac:dyDescent="0.25">
      <c r="A19" s="11" t="s">
        <v>54</v>
      </c>
      <c r="B19" s="12" t="s">
        <v>49</v>
      </c>
      <c r="C19" s="8" t="s">
        <v>232</v>
      </c>
      <c r="D19" s="13" t="s">
        <v>84</v>
      </c>
      <c r="E19" s="45">
        <v>44761</v>
      </c>
      <c r="F19" s="8" t="str">
        <f t="shared" si="0"/>
        <v>Signed Jul 2022</v>
      </c>
      <c r="G19" s="8" t="s">
        <v>21</v>
      </c>
      <c r="H19" s="12" t="s">
        <v>247</v>
      </c>
    </row>
    <row r="20" spans="1:8" ht="19.5" customHeight="1" x14ac:dyDescent="0.25">
      <c r="A20" s="5" t="s">
        <v>52</v>
      </c>
      <c r="B20" s="6" t="s">
        <v>53</v>
      </c>
      <c r="C20" s="8" t="s">
        <v>232</v>
      </c>
      <c r="D20" s="7" t="s">
        <v>84</v>
      </c>
      <c r="E20" s="44">
        <v>44969</v>
      </c>
      <c r="F20" s="8" t="str">
        <f t="shared" si="0"/>
        <v>Signed Feb 2023</v>
      </c>
      <c r="G20" s="8" t="s">
        <v>21</v>
      </c>
      <c r="H20" s="6" t="s">
        <v>248</v>
      </c>
    </row>
    <row r="21" spans="1:8" ht="19.5" customHeight="1" x14ac:dyDescent="0.25">
      <c r="A21" s="11" t="s">
        <v>55</v>
      </c>
      <c r="B21" s="12" t="s">
        <v>56</v>
      </c>
      <c r="C21" s="8" t="s">
        <v>232</v>
      </c>
      <c r="D21" s="13" t="s">
        <v>84</v>
      </c>
      <c r="E21" s="45">
        <v>45061</v>
      </c>
      <c r="F21" s="8" t="str">
        <f t="shared" si="0"/>
        <v>Signed May 2023</v>
      </c>
      <c r="G21" s="8" t="s">
        <v>21</v>
      </c>
      <c r="H21" s="12" t="s">
        <v>249</v>
      </c>
    </row>
    <row r="22" spans="1:8" ht="19.5" customHeight="1" x14ac:dyDescent="0.25">
      <c r="A22" s="5" t="s">
        <v>38</v>
      </c>
      <c r="B22" s="6" t="s">
        <v>39</v>
      </c>
      <c r="C22" s="8" t="s">
        <v>232</v>
      </c>
      <c r="D22" s="7" t="s">
        <v>84</v>
      </c>
      <c r="E22" s="44">
        <v>45322</v>
      </c>
      <c r="F22" s="8" t="str">
        <f t="shared" si="0"/>
        <v>Signed Jan 2024</v>
      </c>
      <c r="G22" s="8" t="s">
        <v>21</v>
      </c>
      <c r="H22" s="6" t="s">
        <v>250</v>
      </c>
    </row>
    <row r="23" spans="1:8" ht="19.5" customHeight="1" x14ac:dyDescent="0.25">
      <c r="A23" s="11" t="s">
        <v>46</v>
      </c>
      <c r="B23" s="12" t="s">
        <v>47</v>
      </c>
      <c r="C23" s="8" t="s">
        <v>232</v>
      </c>
      <c r="D23" s="13" t="s">
        <v>84</v>
      </c>
      <c r="E23" s="45">
        <v>45397</v>
      </c>
      <c r="F23" s="8" t="str">
        <f t="shared" si="0"/>
        <v>Signed Apr 2024</v>
      </c>
      <c r="G23" s="8" t="s">
        <v>21</v>
      </c>
      <c r="H23" s="12" t="s">
        <v>251</v>
      </c>
    </row>
    <row r="24" spans="1:8" ht="19.5" customHeight="1" x14ac:dyDescent="0.25">
      <c r="A24" s="5" t="s">
        <v>65</v>
      </c>
      <c r="B24" s="6" t="s">
        <v>66</v>
      </c>
      <c r="C24" s="8" t="s">
        <v>232</v>
      </c>
      <c r="D24" s="7" t="s">
        <v>84</v>
      </c>
      <c r="E24" s="44">
        <v>45495</v>
      </c>
      <c r="F24" s="8" t="str">
        <f t="shared" si="0"/>
        <v>Signed Jul 2024</v>
      </c>
      <c r="G24" s="8" t="s">
        <v>21</v>
      </c>
      <c r="H24" s="6" t="s">
        <v>252</v>
      </c>
    </row>
    <row r="25" spans="1:8" ht="19.5" customHeight="1" x14ac:dyDescent="0.25">
      <c r="A25" s="11" t="s">
        <v>63</v>
      </c>
      <c r="B25" s="12" t="s">
        <v>64</v>
      </c>
      <c r="C25" s="8" t="s">
        <v>232</v>
      </c>
      <c r="D25" s="13" t="s">
        <v>84</v>
      </c>
      <c r="E25" s="45">
        <v>45693</v>
      </c>
      <c r="F25" s="8" t="str">
        <f t="shared" si="0"/>
        <v>Signed Feb 2025</v>
      </c>
      <c r="G25" s="14" t="s">
        <v>25</v>
      </c>
      <c r="H25" s="12" t="s">
        <v>253</v>
      </c>
    </row>
    <row r="26" spans="1:8" ht="19.5" customHeight="1" x14ac:dyDescent="0.25">
      <c r="A26" s="5" t="s">
        <v>67</v>
      </c>
      <c r="B26" s="6" t="s">
        <v>68</v>
      </c>
      <c r="C26" s="18" t="s">
        <v>91</v>
      </c>
      <c r="D26" s="7" t="s">
        <v>85</v>
      </c>
      <c r="E26" s="44">
        <v>46112</v>
      </c>
      <c r="F26" s="46" t="str">
        <f ca="1">IF(E26&lt;TODAY(),"Overdue",INT(E26-TODAY())&amp;"d")</f>
        <v>35d</v>
      </c>
      <c r="G26" s="14" t="s">
        <v>25</v>
      </c>
      <c r="H26" s="6" t="s">
        <v>254</v>
      </c>
    </row>
    <row r="27" spans="1:8" ht="19.5" customHeight="1" x14ac:dyDescent="0.25">
      <c r="A27" s="11" t="s">
        <v>71</v>
      </c>
      <c r="B27" s="12" t="s">
        <v>72</v>
      </c>
      <c r="C27" s="18" t="s">
        <v>91</v>
      </c>
      <c r="D27" s="13" t="s">
        <v>85</v>
      </c>
      <c r="E27" s="45">
        <v>46112</v>
      </c>
      <c r="F27" s="47" t="str">
        <f ca="1">IF(E27&lt;TODAY(),"Overdue",INT(E27-TODAY())&amp;"d")</f>
        <v>35d</v>
      </c>
      <c r="G27" s="14" t="s">
        <v>25</v>
      </c>
      <c r="H27" s="12" t="s">
        <v>255</v>
      </c>
    </row>
    <row r="28" spans="1:8" ht="19.5" customHeight="1" x14ac:dyDescent="0.25">
      <c r="A28" s="5" t="s">
        <v>74</v>
      </c>
      <c r="B28" s="6" t="s">
        <v>75</v>
      </c>
      <c r="C28" s="18" t="s">
        <v>91</v>
      </c>
      <c r="D28" s="7" t="s">
        <v>85</v>
      </c>
      <c r="E28" s="44">
        <v>46142</v>
      </c>
      <c r="F28" s="46" t="str">
        <f ca="1">IF(E28&lt;TODAY(),"Overdue",INT(E28-TODAY())&amp;"d")</f>
        <v>65d</v>
      </c>
      <c r="G28" s="14" t="s">
        <v>25</v>
      </c>
      <c r="H28" s="6" t="s">
        <v>256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Executive Summary</vt:lpstr>
      <vt:lpstr>Integration Maturity</vt:lpstr>
      <vt:lpstr>Roadmap Timeline</vt:lpstr>
      <vt:lpstr>Capability Reference</vt:lpstr>
      <vt:lpstr>Backlog</vt:lpstr>
      <vt:lpstr>ARR Impact Tracker</vt:lpstr>
      <vt:lpstr>Partnership Status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Andy Sena</cp:lastModifiedBy>
  <cp:revision>0</cp:revision>
  <dcterms:created xsi:type="dcterms:W3CDTF">2026-02-24T23:08:30Z</dcterms:created>
  <dcterms:modified xsi:type="dcterms:W3CDTF">2026-02-25T02:04:43Z</dcterms:modified>
  <dc:language>en-US</dc:language>
</cp:coreProperties>
</file>